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批授权矩阵" sheetId="1" state="visible" r:id="rId1"/>
    <sheet name="合规声明" sheetId="2" state="visible" r:id="rId2"/>
    <sheet name="采购KPI看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666666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0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3" borderId="1" pivotButton="0" quotePrefix="0" xfId="0"/>
    <xf numFmtId="2" fontId="0" fillId="4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采购审批授权矩阵</t>
        </is>
      </c>
    </row>
    <row r="2">
      <c r="A2" s="2" t="inlineStr">
        <is>
          <t>按采购金额自动判定审批层级（阈值可调）</t>
        </is>
      </c>
    </row>
    <row r="4">
      <c r="A4" s="3" t="inlineStr">
        <is>
          <t>采购金额</t>
        </is>
      </c>
      <c r="B4" s="3" t="inlineStr">
        <is>
          <t>判定审批层级</t>
        </is>
      </c>
    </row>
    <row r="5">
      <c r="A5" s="4" t="n"/>
      <c r="B5" s="5">
        <f>IF(A5="","",IF(A5&gt;=1000000,"CEO",IF(A5&gt;=200000,"副总",IF(A5&gt;=50000,"总监","经理"))))</f>
        <v/>
      </c>
    </row>
    <row r="6">
      <c r="A6" s="4" t="n"/>
      <c r="B6" s="5">
        <f>IF(A6="","",IF(A6&gt;=1000000,"CEO",IF(A6&gt;=200000,"副总",IF(A6&gt;=50000,"总监","经理"))))</f>
        <v/>
      </c>
    </row>
    <row r="7">
      <c r="A7" s="4" t="n"/>
      <c r="B7" s="5">
        <f>IF(A7="","",IF(A7&gt;=1000000,"CEO",IF(A7&gt;=200000,"副总",IF(A7&gt;=50000,"总监","经理"))))</f>
        <v/>
      </c>
    </row>
    <row r="8">
      <c r="A8" s="4" t="n"/>
      <c r="B8" s="5">
        <f>IF(A8="","",IF(A8&gt;=1000000,"CEO",IF(A8&gt;=200000,"副总",IF(A8&gt;=50000,"总监","经理"))))</f>
        <v/>
      </c>
    </row>
    <row r="9">
      <c r="A9" s="4" t="n"/>
      <c r="B9" s="5">
        <f>IF(A9="","",IF(A9&gt;=1000000,"CEO",IF(A9&gt;=200000,"副总",IF(A9&gt;=50000,"总监","经理"))))</f>
        <v/>
      </c>
    </row>
    <row r="10">
      <c r="A10" s="4" t="n"/>
      <c r="B10" s="5">
        <f>IF(A10="","",IF(A10&gt;=1000000,"CEO",IF(A10&gt;=200000,"副总",IF(A10&gt;=50000,"总监","经理"))))</f>
        <v/>
      </c>
    </row>
    <row r="11">
      <c r="A11" s="4" t="n"/>
      <c r="B11" s="5">
        <f>IF(A11="","",IF(A11&gt;=1000000,"CEO",IF(A11&gt;=200000,"副总",IF(A11&gt;=50000,"总监","经理"))))</f>
        <v/>
      </c>
    </row>
    <row r="12">
      <c r="A12" s="4" t="n"/>
      <c r="B12" s="5">
        <f>IF(A12="","",IF(A12&gt;=1000000,"CEO",IF(A12&gt;=200000,"副总",IF(A12&gt;=50000,"总监","经理"))))</f>
        <v/>
      </c>
    </row>
    <row r="13">
      <c r="A13" s="4" t="n"/>
      <c r="B13" s="5">
        <f>IF(A13="","",IF(A13&gt;=1000000,"CEO",IF(A13&gt;=200000,"副总",IF(A13&gt;=50000,"总监","经理"))))</f>
        <v/>
      </c>
    </row>
    <row r="14">
      <c r="A14" s="4" t="n"/>
      <c r="B14" s="5">
        <f>IF(A14="","",IF(A14&gt;=1000000,"CEO",IF(A14&gt;=200000,"副总",IF(A14&gt;=50000,"总监","经理"))))</f>
        <v/>
      </c>
    </row>
    <row r="15">
      <c r="A15" s="4" t="n"/>
      <c r="B15" s="5">
        <f>IF(A15="","",IF(A15&gt;=1000000,"CEO",IF(A15&gt;=200000,"副总",IF(A15&gt;=50000,"总监","经理"))))</f>
        <v/>
      </c>
    </row>
    <row r="16">
      <c r="A16" s="4" t="n"/>
      <c r="B16" s="5">
        <f>IF(A16="","",IF(A16&gt;=1000000,"CEO",IF(A16&gt;=200000,"副总",IF(A16&gt;=50000,"总监","经理"))))</f>
        <v/>
      </c>
    </row>
    <row r="17">
      <c r="A17" s="4" t="n"/>
      <c r="B17" s="5">
        <f>IF(A17="","",IF(A17&gt;=1000000,"CEO",IF(A17&gt;=200000,"副总",IF(A17&gt;=50000,"总监","经理"))))</f>
        <v/>
      </c>
    </row>
    <row r="18">
      <c r="A18" s="4" t="n"/>
      <c r="B18" s="5">
        <f>IF(A18="","",IF(A18&gt;=1000000,"CEO",IF(A18&gt;=200000,"副总",IF(A18&gt;=50000,"总监","经理"))))</f>
        <v/>
      </c>
    </row>
    <row r="19">
      <c r="A19" s="4" t="n"/>
      <c r="B19" s="5">
        <f>IF(A19="","",IF(A19&gt;=1000000,"CEO",IF(A19&gt;=200000,"副总",IF(A19&gt;=50000,"总监","经理"))))</f>
        <v/>
      </c>
    </row>
    <row r="20">
      <c r="A20" s="4" t="n"/>
      <c r="B20" s="5">
        <f>IF(A20="","",IF(A20&gt;=1000000,"CEO",IF(A20&gt;=200000,"副总",IF(A20&gt;=50000,"总监","经理"))))</f>
        <v/>
      </c>
    </row>
    <row r="21">
      <c r="A21" s="4" t="n"/>
      <c r="B21" s="5">
        <f>IF(A21="","",IF(A21&gt;=1000000,"CEO",IF(A21&gt;=200000,"副总",IF(A21&gt;=50000,"总监","经理"))))</f>
        <v/>
      </c>
    </row>
    <row r="22">
      <c r="A22" s="4" t="n"/>
      <c r="B22" s="5">
        <f>IF(A22="","",IF(A22&gt;=1000000,"CEO",IF(A22&gt;=200000,"副总",IF(A22&gt;=50000,"总监","经理"))))</f>
        <v/>
      </c>
    </row>
    <row r="23">
      <c r="A23" s="4" t="n"/>
      <c r="B23" s="5">
        <f>IF(A23="","",IF(A23&gt;=1000000,"CEO",IF(A23&gt;=200000,"副总",IF(A23&gt;=50000,"总监","经理"))))</f>
        <v/>
      </c>
    </row>
    <row r="24">
      <c r="A24" s="4" t="n"/>
      <c r="B24" s="5">
        <f>IF(A24="","",IF(A24&gt;=1000000,"CEO",IF(A24&gt;=200000,"副总",IF(A24&gt;=50000,"总监","经理"))))</f>
        <v/>
      </c>
    </row>
  </sheetData>
  <conditionalFormatting sqref="B5:B24">
    <cfRule type="expression" priority="1" dxfId="0">
      <formula>B5="CEO"</formula>
    </cfRule>
    <cfRule type="expression" priority="2" dxfId="1">
      <formula>B5="经理"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30" customWidth="1" min="5" max="5"/>
  </cols>
  <sheetData>
    <row r="1">
      <c r="A1" s="1" t="inlineStr">
        <is>
          <t>利益冲突与合规申报</t>
        </is>
      </c>
    </row>
    <row r="3">
      <c r="A3" s="3" t="inlineStr">
        <is>
          <t>申报人</t>
        </is>
      </c>
      <c r="B3" s="3" t="inlineStr">
        <is>
          <t>供应商</t>
        </is>
      </c>
      <c r="C3" s="3" t="inlineStr">
        <is>
          <t>关系</t>
        </is>
      </c>
      <c r="D3" s="3" t="inlineStr">
        <is>
          <t>是否冲突</t>
        </is>
      </c>
      <c r="E3" s="3" t="inlineStr">
        <is>
          <t>说明</t>
        </is>
      </c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</sheetData>
  <conditionalFormatting sqref="D4:D33">
    <cfRule type="cellIs" priority="1" operator="equal" dxfId="0">
      <formula>"是"</formula>
    </cfRule>
  </conditionalFormatting>
  <dataValidations count="2">
    <dataValidation sqref="C4:C33" showDropDown="0" showInputMessage="0" showErrorMessage="0" allowBlank="1" type="list">
      <formula1>"亲属,前雇主,持股,顾问,无"</formula1>
    </dataValidation>
    <dataValidation sqref="D4:D33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采购 KPI 看板</t>
        </is>
      </c>
    </row>
    <row r="2">
      <c r="A2" s="2" t="inlineStr">
        <is>
          <t>实际值由脚本 kpi_dashboard.py 计算后回填；达成=实际/目标，状态按阈值着色</t>
        </is>
      </c>
    </row>
    <row r="4">
      <c r="A4" s="3" t="inlineStr">
        <is>
          <t>指标</t>
        </is>
      </c>
      <c r="B4" s="3" t="inlineStr">
        <is>
          <t>实际值</t>
        </is>
      </c>
      <c r="C4" s="3" t="inlineStr">
        <is>
          <t>目标值</t>
        </is>
      </c>
      <c r="D4" s="3" t="inlineStr">
        <is>
          <t>达成</t>
        </is>
      </c>
      <c r="E4" s="3" t="inlineStr">
        <is>
          <t>状态</t>
        </is>
      </c>
    </row>
    <row r="5">
      <c r="A5" s="6" t="inlineStr">
        <is>
          <t>年降本金额(万元)</t>
        </is>
      </c>
      <c r="B5" s="6" t="n"/>
      <c r="C5" s="6" t="n">
        <v>100</v>
      </c>
      <c r="D5" s="7">
        <f>IF(OR(B5="",C5="",C5=0),"",B5/C5)</f>
        <v/>
      </c>
      <c r="E5" s="5">
        <f>IF(B5="","",IF(B5&gt;=C5,"达标","未达标"))</f>
        <v/>
      </c>
    </row>
    <row r="6">
      <c r="A6" s="6" t="inlineStr">
        <is>
          <t>支出集中度 HHI</t>
        </is>
      </c>
      <c r="B6" s="6" t="n"/>
      <c r="C6" s="6" t="n">
        <v>0.25</v>
      </c>
      <c r="D6" s="7">
        <f>IF(OR(B6="",C6="",C6=0),"",C6/B6)</f>
        <v/>
      </c>
      <c r="E6" s="5">
        <f>IF(B6="","",IF(B6&gt;C6,"超标","达标"))</f>
        <v/>
      </c>
    </row>
    <row r="7">
      <c r="A7" s="6" t="inlineStr">
        <is>
          <t>单源采购占比(%)</t>
        </is>
      </c>
      <c r="B7" s="6" t="n"/>
      <c r="C7" s="6" t="n">
        <v>30</v>
      </c>
      <c r="D7" s="7">
        <f>IF(OR(B7="",C7="",C7=0),"",C7/B7)</f>
        <v/>
      </c>
      <c r="E7" s="5">
        <f>IF(B7="","",IF(B7&gt;C7,"超标","达标"))</f>
        <v/>
      </c>
    </row>
    <row r="8">
      <c r="A8" s="6" t="inlineStr">
        <is>
          <t>准时交付率(%)</t>
        </is>
      </c>
      <c r="B8" s="6" t="n"/>
      <c r="C8" s="6" t="n">
        <v>95</v>
      </c>
      <c r="D8" s="7">
        <f>IF(OR(B8="",C8="",C8=0),"",B8/C8)</f>
        <v/>
      </c>
      <c r="E8" s="5">
        <f>IF(B8="","",IF(B8&gt;=C8,"达标","未达标"))</f>
        <v/>
      </c>
    </row>
    <row r="9">
      <c r="A9" s="6" t="inlineStr">
        <is>
          <t>来料合格率(%)</t>
        </is>
      </c>
      <c r="B9" s="6" t="n"/>
      <c r="C9" s="6" t="n">
        <v>99</v>
      </c>
      <c r="D9" s="7">
        <f>IF(OR(B9="",C9="",C9=0),"",B9/C9)</f>
        <v/>
      </c>
      <c r="E9" s="5">
        <f>IF(B9="","",IF(B9&gt;=C9,"达标","未达标"))</f>
        <v/>
      </c>
    </row>
    <row r="10">
      <c r="A10" s="6" t="inlineStr">
        <is>
          <t>风险核查覆盖率(%)</t>
        </is>
      </c>
      <c r="B10" s="6" t="n"/>
      <c r="C10" s="6" t="n">
        <v>100</v>
      </c>
      <c r="D10" s="7">
        <f>IF(OR(B10="",C10="",C10=0),"",B10/C10)</f>
        <v/>
      </c>
      <c r="E10" s="5">
        <f>IF(B10="","",IF(B10&gt;=C10,"达标","未达标"))</f>
        <v/>
      </c>
    </row>
  </sheetData>
  <conditionalFormatting sqref="E5:E10">
    <cfRule type="cellIs" priority="1" operator="equal" dxfId="1">
      <formula>"达标"</formula>
    </cfRule>
    <cfRule type="cellIs" priority="2" operator="equal" dxfId="0">
      <formula>"超标"</formula>
    </cfRule>
    <cfRule type="cellIs" priority="3" operator="equal" dxfId="2">
      <formula>"未达标"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2026-09-19T13:57:50Z</dcterms:created>
  <dcterms:modified xsi:type="dcterms:W3CDTF">2026-09-19T13:57:50Z</dcterms:modified>
</cp:coreProperties>
</file>