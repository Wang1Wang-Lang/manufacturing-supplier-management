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PO" sheetId="1" state="visible" r:id="rId1"/>
    <sheet name="IQC" sheetId="2" state="visible" r:id="rId2"/>
    <sheet name="三单匹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  <sz val="10"/>
    </font>
    <font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3" fillId="0" borderId="0" pivotButton="0" quotePrefix="0" xfId="0"/>
    <xf numFmtId="0" fontId="0" fillId="0" borderId="1" pivotButton="0" quotePrefix="0" xfId="0"/>
    <xf numFmtId="2" fontId="0" fillId="3" borderId="1" pivotButton="0" quotePrefix="0" xfId="0"/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2" customWidth="1" min="4" max="4"/>
    <col width="18" customWidth="1" min="5" max="5"/>
    <col width="12" customWidth="1" min="6" max="6"/>
    <col width="10" customWidth="1" min="7" max="7"/>
    <col width="12" customWidth="1" min="8" max="8"/>
    <col width="12" customWidth="1" min="9" max="9"/>
    <col width="12" customWidth="1" min="10" max="10"/>
    <col width="10" customWidth="1" min="11" max="11"/>
  </cols>
  <sheetData>
    <row r="1">
      <c r="A1" s="1" t="inlineStr">
        <is>
          <t>请购与订单登记 (PR→PO)</t>
        </is>
      </c>
    </row>
    <row r="3">
      <c r="A3" s="2" t="inlineStr">
        <is>
          <t>PR编号</t>
        </is>
      </c>
      <c r="B3" s="2" t="inlineStr">
        <is>
          <t>物料</t>
        </is>
      </c>
      <c r="C3" s="2" t="inlineStr">
        <is>
          <t>数量</t>
        </is>
      </c>
      <c r="D3" s="2" t="inlineStr">
        <is>
          <t>需求日期</t>
        </is>
      </c>
      <c r="E3" s="2" t="inlineStr">
        <is>
          <t>供应商</t>
        </is>
      </c>
      <c r="F3" s="2" t="inlineStr">
        <is>
          <t>PO编号</t>
        </is>
      </c>
      <c r="G3" s="2" t="inlineStr">
        <is>
          <t>单价</t>
        </is>
      </c>
      <c r="H3" s="2" t="inlineStr">
        <is>
          <t>PO金额</t>
        </is>
      </c>
      <c r="I3" s="2" t="inlineStr">
        <is>
          <t>计划到货</t>
        </is>
      </c>
      <c r="J3" s="2" t="inlineStr">
        <is>
          <t>实际到货</t>
        </is>
      </c>
      <c r="K3" s="2" t="inlineStr">
        <is>
          <t>状态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4">
        <f>IF(OR(C4="",G4=""),"",C4*G4)</f>
        <v/>
      </c>
      <c r="I4" s="3" t="n"/>
      <c r="J4" s="3" t="n"/>
      <c r="K4" s="3" t="n"/>
    </row>
    <row r="5">
      <c r="A5" s="3" t="n"/>
      <c r="B5" s="3" t="n"/>
      <c r="C5" s="3" t="n"/>
      <c r="D5" s="3" t="n"/>
      <c r="E5" s="3" t="n"/>
      <c r="F5" s="3" t="n"/>
      <c r="G5" s="3" t="n"/>
      <c r="H5" s="4">
        <f>IF(OR(C5="",G5=""),"",C5*G5)</f>
        <v/>
      </c>
      <c r="I5" s="3" t="n"/>
      <c r="J5" s="3" t="n"/>
      <c r="K5" s="3" t="n"/>
    </row>
    <row r="6">
      <c r="A6" s="3" t="n"/>
      <c r="B6" s="3" t="n"/>
      <c r="C6" s="3" t="n"/>
      <c r="D6" s="3" t="n"/>
      <c r="E6" s="3" t="n"/>
      <c r="F6" s="3" t="n"/>
      <c r="G6" s="3" t="n"/>
      <c r="H6" s="4">
        <f>IF(OR(C6="",G6=""),"",C6*G6)</f>
        <v/>
      </c>
      <c r="I6" s="3" t="n"/>
      <c r="J6" s="3" t="n"/>
      <c r="K6" s="3" t="n"/>
    </row>
    <row r="7">
      <c r="A7" s="3" t="n"/>
      <c r="B7" s="3" t="n"/>
      <c r="C7" s="3" t="n"/>
      <c r="D7" s="3" t="n"/>
      <c r="E7" s="3" t="n"/>
      <c r="F7" s="3" t="n"/>
      <c r="G7" s="3" t="n"/>
      <c r="H7" s="4">
        <f>IF(OR(C7="",G7=""),"",C7*G7)</f>
        <v/>
      </c>
      <c r="I7" s="3" t="n"/>
      <c r="J7" s="3" t="n"/>
      <c r="K7" s="3" t="n"/>
    </row>
    <row r="8">
      <c r="A8" s="3" t="n"/>
      <c r="B8" s="3" t="n"/>
      <c r="C8" s="3" t="n"/>
      <c r="D8" s="3" t="n"/>
      <c r="E8" s="3" t="n"/>
      <c r="F8" s="3" t="n"/>
      <c r="G8" s="3" t="n"/>
      <c r="H8" s="4">
        <f>IF(OR(C8="",G8=""),"",C8*G8)</f>
        <v/>
      </c>
      <c r="I8" s="3" t="n"/>
      <c r="J8" s="3" t="n"/>
      <c r="K8" s="3" t="n"/>
    </row>
    <row r="9">
      <c r="A9" s="3" t="n"/>
      <c r="B9" s="3" t="n"/>
      <c r="C9" s="3" t="n"/>
      <c r="D9" s="3" t="n"/>
      <c r="E9" s="3" t="n"/>
      <c r="F9" s="3" t="n"/>
      <c r="G9" s="3" t="n"/>
      <c r="H9" s="4">
        <f>IF(OR(C9="",G9=""),"",C9*G9)</f>
        <v/>
      </c>
      <c r="I9" s="3" t="n"/>
      <c r="J9" s="3" t="n"/>
      <c r="K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4">
        <f>IF(OR(C10="",G10=""),"",C10*G10)</f>
        <v/>
      </c>
      <c r="I10" s="3" t="n"/>
      <c r="J10" s="3" t="n"/>
      <c r="K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4">
        <f>IF(OR(C11="",G11=""),"",C11*G11)</f>
        <v/>
      </c>
      <c r="I11" s="3" t="n"/>
      <c r="J11" s="3" t="n"/>
      <c r="K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4">
        <f>IF(OR(C12="",G12=""),"",C12*G12)</f>
        <v/>
      </c>
      <c r="I12" s="3" t="n"/>
      <c r="J12" s="3" t="n"/>
      <c r="K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4">
        <f>IF(OR(C13="",G13=""),"",C13*G13)</f>
        <v/>
      </c>
      <c r="I13" s="3" t="n"/>
      <c r="J13" s="3" t="n"/>
      <c r="K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4">
        <f>IF(OR(C14="",G14=""),"",C14*G14)</f>
        <v/>
      </c>
      <c r="I14" s="3" t="n"/>
      <c r="J14" s="3" t="n"/>
      <c r="K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4">
        <f>IF(OR(C15="",G15=""),"",C15*G15)</f>
        <v/>
      </c>
      <c r="I15" s="3" t="n"/>
      <c r="J15" s="3" t="n"/>
      <c r="K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4">
        <f>IF(OR(C16="",G16=""),"",C16*G16)</f>
        <v/>
      </c>
      <c r="I16" s="3" t="n"/>
      <c r="J16" s="3" t="n"/>
      <c r="K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4">
        <f>IF(OR(C17="",G17=""),"",C17*G17)</f>
        <v/>
      </c>
      <c r="I17" s="3" t="n"/>
      <c r="J17" s="3" t="n"/>
      <c r="K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4">
        <f>IF(OR(C18="",G18=""),"",C18*G18)</f>
        <v/>
      </c>
      <c r="I18" s="3" t="n"/>
      <c r="J18" s="3" t="n"/>
      <c r="K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4">
        <f>IF(OR(C19="",G19=""),"",C19*G19)</f>
        <v/>
      </c>
      <c r="I19" s="3" t="n"/>
      <c r="J19" s="3" t="n"/>
      <c r="K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4">
        <f>IF(OR(C20="",G20=""),"",C20*G20)</f>
        <v/>
      </c>
      <c r="I20" s="3" t="n"/>
      <c r="J20" s="3" t="n"/>
      <c r="K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4">
        <f>IF(OR(C21="",G21=""),"",C21*G21)</f>
        <v/>
      </c>
      <c r="I21" s="3" t="n"/>
      <c r="J21" s="3" t="n"/>
      <c r="K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4">
        <f>IF(OR(C22="",G22=""),"",C22*G22)</f>
        <v/>
      </c>
      <c r="I22" s="3" t="n"/>
      <c r="J22" s="3" t="n"/>
      <c r="K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4">
        <f>IF(OR(C23="",G23=""),"",C23*G23)</f>
        <v/>
      </c>
      <c r="I23" s="3" t="n"/>
      <c r="J23" s="3" t="n"/>
      <c r="K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4">
        <f>IF(OR(C24="",G24=""),"",C24*G24)</f>
        <v/>
      </c>
      <c r="I24" s="3" t="n"/>
      <c r="J24" s="3" t="n"/>
      <c r="K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4">
        <f>IF(OR(C25="",G25=""),"",C25*G25)</f>
        <v/>
      </c>
      <c r="I25" s="3" t="n"/>
      <c r="J25" s="3" t="n"/>
      <c r="K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4">
        <f>IF(OR(C26="",G26=""),"",C26*G26)</f>
        <v/>
      </c>
      <c r="I26" s="3" t="n"/>
      <c r="J26" s="3" t="n"/>
      <c r="K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4">
        <f>IF(OR(C27="",G27=""),"",C27*G27)</f>
        <v/>
      </c>
      <c r="I27" s="3" t="n"/>
      <c r="J27" s="3" t="n"/>
      <c r="K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4">
        <f>IF(OR(C28="",G28=""),"",C28*G28)</f>
        <v/>
      </c>
      <c r="I28" s="3" t="n"/>
      <c r="J28" s="3" t="n"/>
      <c r="K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4">
        <f>IF(OR(C29="",G29=""),"",C29*G29)</f>
        <v/>
      </c>
      <c r="I29" s="3" t="n"/>
      <c r="J29" s="3" t="n"/>
      <c r="K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4">
        <f>IF(OR(C30="",G30=""),"",C30*G30)</f>
        <v/>
      </c>
      <c r="I30" s="3" t="n"/>
      <c r="J30" s="3" t="n"/>
      <c r="K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4">
        <f>IF(OR(C31="",G31=""),"",C31*G31)</f>
        <v/>
      </c>
      <c r="I31" s="3" t="n"/>
      <c r="J31" s="3" t="n"/>
      <c r="K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4">
        <f>IF(OR(C32="",G32=""),"",C32*G32)</f>
        <v/>
      </c>
      <c r="I32" s="3" t="n"/>
      <c r="J32" s="3" t="n"/>
      <c r="K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4">
        <f>IF(OR(C33="",G33=""),"",C33*G33)</f>
        <v/>
      </c>
      <c r="I33" s="3" t="n"/>
      <c r="J33" s="3" t="n"/>
      <c r="K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4">
        <f>IF(OR(C34="",G34=""),"",C34*G34)</f>
        <v/>
      </c>
      <c r="I34" s="3" t="n"/>
      <c r="J34" s="3" t="n"/>
      <c r="K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4">
        <f>IF(OR(C35="",G35=""),"",C35*G35)</f>
        <v/>
      </c>
      <c r="I35" s="3" t="n"/>
      <c r="J35" s="3" t="n"/>
      <c r="K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4">
        <f>IF(OR(C36="",G36=""),"",C36*G36)</f>
        <v/>
      </c>
      <c r="I36" s="3" t="n"/>
      <c r="J36" s="3" t="n"/>
      <c r="K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4">
        <f>IF(OR(C37="",G37=""),"",C37*G37)</f>
        <v/>
      </c>
      <c r="I37" s="3" t="n"/>
      <c r="J37" s="3" t="n"/>
      <c r="K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4">
        <f>IF(OR(C38="",G38=""),"",C38*G38)</f>
        <v/>
      </c>
      <c r="I38" s="3" t="n"/>
      <c r="J38" s="3" t="n"/>
      <c r="K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4">
        <f>IF(OR(C39="",G39=""),"",C39*G39)</f>
        <v/>
      </c>
      <c r="I39" s="3" t="n"/>
      <c r="J39" s="3" t="n"/>
      <c r="K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4">
        <f>IF(OR(C40="",G40=""),"",C40*G40)</f>
        <v/>
      </c>
      <c r="I40" s="3" t="n"/>
      <c r="J40" s="3" t="n"/>
      <c r="K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4">
        <f>IF(OR(C41="",G41=""),"",C41*G41)</f>
        <v/>
      </c>
      <c r="I41" s="3" t="n"/>
      <c r="J41" s="3" t="n"/>
      <c r="K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4">
        <f>IF(OR(C42="",G42=""),"",C42*G42)</f>
        <v/>
      </c>
      <c r="I42" s="3" t="n"/>
      <c r="J42" s="3" t="n"/>
      <c r="K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4">
        <f>IF(OR(C43="",G43=""),"",C43*G43)</f>
        <v/>
      </c>
      <c r="I43" s="3" t="n"/>
      <c r="J43" s="3" t="n"/>
      <c r="K43" s="3" t="n"/>
    </row>
  </sheetData>
  <dataValidations count="1">
    <dataValidation sqref="K4:K43" showDropDown="0" showInputMessage="0" showErrorMessage="0" allowBlank="1" type="list">
      <formula1>"未下单,已下单,已交货,已关闭"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9" customWidth="1" min="5" max="5"/>
    <col width="10" customWidth="1" min="6" max="6"/>
    <col width="12" customWidth="1" min="7" max="7"/>
  </cols>
  <sheetData>
    <row r="1">
      <c r="A1" s="1" t="inlineStr">
        <is>
          <t>收货与检验 (IQC)</t>
        </is>
      </c>
    </row>
    <row r="3">
      <c r="A3" s="2" t="inlineStr">
        <is>
          <t>PO编号</t>
        </is>
      </c>
      <c r="B3" s="2" t="inlineStr">
        <is>
          <t>收货日期</t>
        </is>
      </c>
      <c r="C3" s="2" t="inlineStr">
        <is>
          <t>收货数量</t>
        </is>
      </c>
      <c r="D3" s="2" t="inlineStr">
        <is>
          <t>合格数量</t>
        </is>
      </c>
      <c r="E3" s="2" t="inlineStr">
        <is>
          <t>不良率</t>
        </is>
      </c>
      <c r="F3" s="2" t="inlineStr">
        <is>
          <t>IQC结论</t>
        </is>
      </c>
      <c r="G3" s="2" t="inlineStr">
        <is>
          <t>关联PR</t>
        </is>
      </c>
    </row>
    <row r="4">
      <c r="A4" s="3" t="n"/>
      <c r="B4" s="3" t="n"/>
      <c r="C4" s="3" t="n"/>
      <c r="D4" s="3" t="n"/>
      <c r="E4" s="5">
        <f>IF(OR(C4="",C4=0),"",1-D4/C4)</f>
        <v/>
      </c>
      <c r="F4" s="3" t="n"/>
      <c r="G4" s="3" t="n"/>
    </row>
    <row r="5">
      <c r="A5" s="3" t="n"/>
      <c r="B5" s="3" t="n"/>
      <c r="C5" s="3" t="n"/>
      <c r="D5" s="3" t="n"/>
      <c r="E5" s="5">
        <f>IF(OR(C5="",C5=0),"",1-D5/C5)</f>
        <v/>
      </c>
      <c r="F5" s="3" t="n"/>
      <c r="G5" s="3" t="n"/>
    </row>
    <row r="6">
      <c r="A6" s="3" t="n"/>
      <c r="B6" s="3" t="n"/>
      <c r="C6" s="3" t="n"/>
      <c r="D6" s="3" t="n"/>
      <c r="E6" s="5">
        <f>IF(OR(C6="",C6=0),"",1-D6/C6)</f>
        <v/>
      </c>
      <c r="F6" s="3" t="n"/>
      <c r="G6" s="3" t="n"/>
    </row>
    <row r="7">
      <c r="A7" s="3" t="n"/>
      <c r="B7" s="3" t="n"/>
      <c r="C7" s="3" t="n"/>
      <c r="D7" s="3" t="n"/>
      <c r="E7" s="5">
        <f>IF(OR(C7="",C7=0),"",1-D7/C7)</f>
        <v/>
      </c>
      <c r="F7" s="3" t="n"/>
      <c r="G7" s="3" t="n"/>
    </row>
    <row r="8">
      <c r="A8" s="3" t="n"/>
      <c r="B8" s="3" t="n"/>
      <c r="C8" s="3" t="n"/>
      <c r="D8" s="3" t="n"/>
      <c r="E8" s="5">
        <f>IF(OR(C8="",C8=0),"",1-D8/C8)</f>
        <v/>
      </c>
      <c r="F8" s="3" t="n"/>
      <c r="G8" s="3" t="n"/>
    </row>
    <row r="9">
      <c r="A9" s="3" t="n"/>
      <c r="B9" s="3" t="n"/>
      <c r="C9" s="3" t="n"/>
      <c r="D9" s="3" t="n"/>
      <c r="E9" s="5">
        <f>IF(OR(C9="",C9=0),"",1-D9/C9)</f>
        <v/>
      </c>
      <c r="F9" s="3" t="n"/>
      <c r="G9" s="3" t="n"/>
    </row>
    <row r="10">
      <c r="A10" s="3" t="n"/>
      <c r="B10" s="3" t="n"/>
      <c r="C10" s="3" t="n"/>
      <c r="D10" s="3" t="n"/>
      <c r="E10" s="5">
        <f>IF(OR(C10="",C10=0),"",1-D10/C10)</f>
        <v/>
      </c>
      <c r="F10" s="3" t="n"/>
      <c r="G10" s="3" t="n"/>
    </row>
    <row r="11">
      <c r="A11" s="3" t="n"/>
      <c r="B11" s="3" t="n"/>
      <c r="C11" s="3" t="n"/>
      <c r="D11" s="3" t="n"/>
      <c r="E11" s="5">
        <f>IF(OR(C11="",C11=0),"",1-D11/C11)</f>
        <v/>
      </c>
      <c r="F11" s="3" t="n"/>
      <c r="G11" s="3" t="n"/>
    </row>
    <row r="12">
      <c r="A12" s="3" t="n"/>
      <c r="B12" s="3" t="n"/>
      <c r="C12" s="3" t="n"/>
      <c r="D12" s="3" t="n"/>
      <c r="E12" s="5">
        <f>IF(OR(C12="",C12=0),"",1-D12/C12)</f>
        <v/>
      </c>
      <c r="F12" s="3" t="n"/>
      <c r="G12" s="3" t="n"/>
    </row>
    <row r="13">
      <c r="A13" s="3" t="n"/>
      <c r="B13" s="3" t="n"/>
      <c r="C13" s="3" t="n"/>
      <c r="D13" s="3" t="n"/>
      <c r="E13" s="5">
        <f>IF(OR(C13="",C13=0),"",1-D13/C13)</f>
        <v/>
      </c>
      <c r="F13" s="3" t="n"/>
      <c r="G13" s="3" t="n"/>
    </row>
    <row r="14">
      <c r="A14" s="3" t="n"/>
      <c r="B14" s="3" t="n"/>
      <c r="C14" s="3" t="n"/>
      <c r="D14" s="3" t="n"/>
      <c r="E14" s="5">
        <f>IF(OR(C14="",C14=0),"",1-D14/C14)</f>
        <v/>
      </c>
      <c r="F14" s="3" t="n"/>
      <c r="G14" s="3" t="n"/>
    </row>
    <row r="15">
      <c r="A15" s="3" t="n"/>
      <c r="B15" s="3" t="n"/>
      <c r="C15" s="3" t="n"/>
      <c r="D15" s="3" t="n"/>
      <c r="E15" s="5">
        <f>IF(OR(C15="",C15=0),"",1-D15/C15)</f>
        <v/>
      </c>
      <c r="F15" s="3" t="n"/>
      <c r="G15" s="3" t="n"/>
    </row>
    <row r="16">
      <c r="A16" s="3" t="n"/>
      <c r="B16" s="3" t="n"/>
      <c r="C16" s="3" t="n"/>
      <c r="D16" s="3" t="n"/>
      <c r="E16" s="5">
        <f>IF(OR(C16="",C16=0),"",1-D16/C16)</f>
        <v/>
      </c>
      <c r="F16" s="3" t="n"/>
      <c r="G16" s="3" t="n"/>
    </row>
    <row r="17">
      <c r="A17" s="3" t="n"/>
      <c r="B17" s="3" t="n"/>
      <c r="C17" s="3" t="n"/>
      <c r="D17" s="3" t="n"/>
      <c r="E17" s="5">
        <f>IF(OR(C17="",C17=0),"",1-D17/C17)</f>
        <v/>
      </c>
      <c r="F17" s="3" t="n"/>
      <c r="G17" s="3" t="n"/>
    </row>
    <row r="18">
      <c r="A18" s="3" t="n"/>
      <c r="B18" s="3" t="n"/>
      <c r="C18" s="3" t="n"/>
      <c r="D18" s="3" t="n"/>
      <c r="E18" s="5">
        <f>IF(OR(C18="",C18=0),"",1-D18/C18)</f>
        <v/>
      </c>
      <c r="F18" s="3" t="n"/>
      <c r="G18" s="3" t="n"/>
    </row>
    <row r="19">
      <c r="A19" s="3" t="n"/>
      <c r="B19" s="3" t="n"/>
      <c r="C19" s="3" t="n"/>
      <c r="D19" s="3" t="n"/>
      <c r="E19" s="5">
        <f>IF(OR(C19="",C19=0),"",1-D19/C19)</f>
        <v/>
      </c>
      <c r="F19" s="3" t="n"/>
      <c r="G19" s="3" t="n"/>
    </row>
    <row r="20">
      <c r="A20" s="3" t="n"/>
      <c r="B20" s="3" t="n"/>
      <c r="C20" s="3" t="n"/>
      <c r="D20" s="3" t="n"/>
      <c r="E20" s="5">
        <f>IF(OR(C20="",C20=0),"",1-D20/C20)</f>
        <v/>
      </c>
      <c r="F20" s="3" t="n"/>
      <c r="G20" s="3" t="n"/>
    </row>
    <row r="21">
      <c r="A21" s="3" t="n"/>
      <c r="B21" s="3" t="n"/>
      <c r="C21" s="3" t="n"/>
      <c r="D21" s="3" t="n"/>
      <c r="E21" s="5">
        <f>IF(OR(C21="",C21=0),"",1-D21/C21)</f>
        <v/>
      </c>
      <c r="F21" s="3" t="n"/>
      <c r="G21" s="3" t="n"/>
    </row>
    <row r="22">
      <c r="A22" s="3" t="n"/>
      <c r="B22" s="3" t="n"/>
      <c r="C22" s="3" t="n"/>
      <c r="D22" s="3" t="n"/>
      <c r="E22" s="5">
        <f>IF(OR(C22="",C22=0),"",1-D22/C22)</f>
        <v/>
      </c>
      <c r="F22" s="3" t="n"/>
      <c r="G22" s="3" t="n"/>
    </row>
    <row r="23">
      <c r="A23" s="3" t="n"/>
      <c r="B23" s="3" t="n"/>
      <c r="C23" s="3" t="n"/>
      <c r="D23" s="3" t="n"/>
      <c r="E23" s="5">
        <f>IF(OR(C23="",C23=0),"",1-D23/C23)</f>
        <v/>
      </c>
      <c r="F23" s="3" t="n"/>
      <c r="G23" s="3" t="n"/>
    </row>
    <row r="24">
      <c r="A24" s="3" t="n"/>
      <c r="B24" s="3" t="n"/>
      <c r="C24" s="3" t="n"/>
      <c r="D24" s="3" t="n"/>
      <c r="E24" s="5">
        <f>IF(OR(C24="",C24=0),"",1-D24/C24)</f>
        <v/>
      </c>
      <c r="F24" s="3" t="n"/>
      <c r="G24" s="3" t="n"/>
    </row>
    <row r="25">
      <c r="A25" s="3" t="n"/>
      <c r="B25" s="3" t="n"/>
      <c r="C25" s="3" t="n"/>
      <c r="D25" s="3" t="n"/>
      <c r="E25" s="5">
        <f>IF(OR(C25="",C25=0),"",1-D25/C25)</f>
        <v/>
      </c>
      <c r="F25" s="3" t="n"/>
      <c r="G25" s="3" t="n"/>
    </row>
    <row r="26">
      <c r="A26" s="3" t="n"/>
      <c r="B26" s="3" t="n"/>
      <c r="C26" s="3" t="n"/>
      <c r="D26" s="3" t="n"/>
      <c r="E26" s="5">
        <f>IF(OR(C26="",C26=0),"",1-D26/C26)</f>
        <v/>
      </c>
      <c r="F26" s="3" t="n"/>
      <c r="G26" s="3" t="n"/>
    </row>
    <row r="27">
      <c r="A27" s="3" t="n"/>
      <c r="B27" s="3" t="n"/>
      <c r="C27" s="3" t="n"/>
      <c r="D27" s="3" t="n"/>
      <c r="E27" s="5">
        <f>IF(OR(C27="",C27=0),"",1-D27/C27)</f>
        <v/>
      </c>
      <c r="F27" s="3" t="n"/>
      <c r="G27" s="3" t="n"/>
    </row>
    <row r="28">
      <c r="A28" s="3" t="n"/>
      <c r="B28" s="3" t="n"/>
      <c r="C28" s="3" t="n"/>
      <c r="D28" s="3" t="n"/>
      <c r="E28" s="5">
        <f>IF(OR(C28="",C28=0),"",1-D28/C28)</f>
        <v/>
      </c>
      <c r="F28" s="3" t="n"/>
      <c r="G28" s="3" t="n"/>
    </row>
    <row r="29">
      <c r="A29" s="3" t="n"/>
      <c r="B29" s="3" t="n"/>
      <c r="C29" s="3" t="n"/>
      <c r="D29" s="3" t="n"/>
      <c r="E29" s="5">
        <f>IF(OR(C29="",C29=0),"",1-D29/C29)</f>
        <v/>
      </c>
      <c r="F29" s="3" t="n"/>
      <c r="G29" s="3" t="n"/>
    </row>
    <row r="30">
      <c r="A30" s="3" t="n"/>
      <c r="B30" s="3" t="n"/>
      <c r="C30" s="3" t="n"/>
      <c r="D30" s="3" t="n"/>
      <c r="E30" s="5">
        <f>IF(OR(C30="",C30=0),"",1-D30/C30)</f>
        <v/>
      </c>
      <c r="F30" s="3" t="n"/>
      <c r="G30" s="3" t="n"/>
    </row>
    <row r="31">
      <c r="A31" s="3" t="n"/>
      <c r="B31" s="3" t="n"/>
      <c r="C31" s="3" t="n"/>
      <c r="D31" s="3" t="n"/>
      <c r="E31" s="5">
        <f>IF(OR(C31="",C31=0),"",1-D31/C31)</f>
        <v/>
      </c>
      <c r="F31" s="3" t="n"/>
      <c r="G31" s="3" t="n"/>
    </row>
    <row r="32">
      <c r="A32" s="3" t="n"/>
      <c r="B32" s="3" t="n"/>
      <c r="C32" s="3" t="n"/>
      <c r="D32" s="3" t="n"/>
      <c r="E32" s="5">
        <f>IF(OR(C32="",C32=0),"",1-D32/C32)</f>
        <v/>
      </c>
      <c r="F32" s="3" t="n"/>
      <c r="G32" s="3" t="n"/>
    </row>
    <row r="33">
      <c r="A33" s="3" t="n"/>
      <c r="B33" s="3" t="n"/>
      <c r="C33" s="3" t="n"/>
      <c r="D33" s="3" t="n"/>
      <c r="E33" s="5">
        <f>IF(OR(C33="",C33=0),"",1-D33/C33)</f>
        <v/>
      </c>
      <c r="F33" s="3" t="n"/>
      <c r="G33" s="3" t="n"/>
    </row>
    <row r="34">
      <c r="A34" s="3" t="n"/>
      <c r="B34" s="3" t="n"/>
      <c r="C34" s="3" t="n"/>
      <c r="D34" s="3" t="n"/>
      <c r="E34" s="5">
        <f>IF(OR(C34="",C34=0),"",1-D34/C34)</f>
        <v/>
      </c>
      <c r="F34" s="3" t="n"/>
      <c r="G34" s="3" t="n"/>
    </row>
    <row r="35">
      <c r="A35" s="3" t="n"/>
      <c r="B35" s="3" t="n"/>
      <c r="C35" s="3" t="n"/>
      <c r="D35" s="3" t="n"/>
      <c r="E35" s="5">
        <f>IF(OR(C35="",C35=0),"",1-D35/C35)</f>
        <v/>
      </c>
      <c r="F35" s="3" t="n"/>
      <c r="G35" s="3" t="n"/>
    </row>
    <row r="36">
      <c r="A36" s="3" t="n"/>
      <c r="B36" s="3" t="n"/>
      <c r="C36" s="3" t="n"/>
      <c r="D36" s="3" t="n"/>
      <c r="E36" s="5">
        <f>IF(OR(C36="",C36=0),"",1-D36/C36)</f>
        <v/>
      </c>
      <c r="F36" s="3" t="n"/>
      <c r="G36" s="3" t="n"/>
    </row>
    <row r="37">
      <c r="A37" s="3" t="n"/>
      <c r="B37" s="3" t="n"/>
      <c r="C37" s="3" t="n"/>
      <c r="D37" s="3" t="n"/>
      <c r="E37" s="5">
        <f>IF(OR(C37="",C37=0),"",1-D37/C37)</f>
        <v/>
      </c>
      <c r="F37" s="3" t="n"/>
      <c r="G37" s="3" t="n"/>
    </row>
    <row r="38">
      <c r="A38" s="3" t="n"/>
      <c r="B38" s="3" t="n"/>
      <c r="C38" s="3" t="n"/>
      <c r="D38" s="3" t="n"/>
      <c r="E38" s="5">
        <f>IF(OR(C38="",C38=0),"",1-D38/C38)</f>
        <v/>
      </c>
      <c r="F38" s="3" t="n"/>
      <c r="G38" s="3" t="n"/>
    </row>
    <row r="39">
      <c r="A39" s="3" t="n"/>
      <c r="B39" s="3" t="n"/>
      <c r="C39" s="3" t="n"/>
      <c r="D39" s="3" t="n"/>
      <c r="E39" s="5">
        <f>IF(OR(C39="",C39=0),"",1-D39/C39)</f>
        <v/>
      </c>
      <c r="F39" s="3" t="n"/>
      <c r="G39" s="3" t="n"/>
    </row>
    <row r="40">
      <c r="A40" s="3" t="n"/>
      <c r="B40" s="3" t="n"/>
      <c r="C40" s="3" t="n"/>
      <c r="D40" s="3" t="n"/>
      <c r="E40" s="5">
        <f>IF(OR(C40="",C40=0),"",1-D40/C40)</f>
        <v/>
      </c>
      <c r="F40" s="3" t="n"/>
      <c r="G40" s="3" t="n"/>
    </row>
    <row r="41">
      <c r="A41" s="3" t="n"/>
      <c r="B41" s="3" t="n"/>
      <c r="C41" s="3" t="n"/>
      <c r="D41" s="3" t="n"/>
      <c r="E41" s="5">
        <f>IF(OR(C41="",C41=0),"",1-D41/C41)</f>
        <v/>
      </c>
      <c r="F41" s="3" t="n"/>
      <c r="G41" s="3" t="n"/>
    </row>
    <row r="42">
      <c r="A42" s="3" t="n"/>
      <c r="B42" s="3" t="n"/>
      <c r="C42" s="3" t="n"/>
      <c r="D42" s="3" t="n"/>
      <c r="E42" s="5">
        <f>IF(OR(C42="",C42=0),"",1-D42/C42)</f>
        <v/>
      </c>
      <c r="F42" s="3" t="n"/>
      <c r="G42" s="3" t="n"/>
    </row>
    <row r="43">
      <c r="A43" s="3" t="n"/>
      <c r="B43" s="3" t="n"/>
      <c r="C43" s="3" t="n"/>
      <c r="D43" s="3" t="n"/>
      <c r="E43" s="5">
        <f>IF(OR(C43="",C43=0),"",1-D43/C43)</f>
        <v/>
      </c>
      <c r="F43" s="3" t="n"/>
      <c r="G43" s="3" t="n"/>
    </row>
  </sheetData>
  <dataValidations count="1">
    <dataValidation sqref="F4:F43" showDropDown="0" showInputMessage="0" showErrorMessage="0" allowBlank="1" type="list">
      <formula1>"合格,退货,让步接收"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8" customWidth="1" min="9" max="9"/>
    <col width="10" customWidth="1" min="10" max="10"/>
    <col width="10" customWidth="1" min="11" max="11"/>
  </cols>
  <sheetData>
    <row r="1">
      <c r="A1" s="1" t="inlineStr">
        <is>
          <t>三单匹配 (PO × 收货 × 发票)</t>
        </is>
      </c>
    </row>
    <row r="2">
      <c r="A2" s="6" t="inlineStr">
        <is>
          <t>PO金额/单价/应收数量自动从『PRPO』取，收货数量自动从『IQC』取</t>
        </is>
      </c>
    </row>
    <row r="3">
      <c r="A3" s="2" t="inlineStr">
        <is>
          <t>PO编号</t>
        </is>
      </c>
      <c r="B3" s="2" t="inlineStr">
        <is>
          <t>PO金额</t>
        </is>
      </c>
      <c r="C3" s="2" t="inlineStr">
        <is>
          <t>单价</t>
        </is>
      </c>
      <c r="D3" s="2" t="inlineStr">
        <is>
          <t>应收数量</t>
        </is>
      </c>
      <c r="E3" s="2" t="inlineStr">
        <is>
          <t>收货数量</t>
        </is>
      </c>
      <c r="F3" s="2" t="inlineStr">
        <is>
          <t>应付基准</t>
        </is>
      </c>
      <c r="G3" s="2" t="inlineStr">
        <is>
          <t>发票金额</t>
        </is>
      </c>
      <c r="H3" s="2" t="inlineStr">
        <is>
          <t>差异</t>
        </is>
      </c>
      <c r="I3" s="2" t="inlineStr">
        <is>
          <t>容差</t>
        </is>
      </c>
      <c r="J3" s="2" t="inlineStr">
        <is>
          <t>匹配状态</t>
        </is>
      </c>
      <c r="K3" s="2" t="inlineStr">
        <is>
          <t>付款状态</t>
        </is>
      </c>
    </row>
    <row r="4">
      <c r="A4" s="7" t="n"/>
      <c r="B4" s="4">
        <f>IF(A4="","",INDEX(PRPO!$H:$H,MATCH(A4,PRPO!$F:$F,0)))</f>
        <v/>
      </c>
      <c r="C4" s="4">
        <f>IF(A4="","",INDEX(PRPO!$G:$G,MATCH(A4,PRPO!$F:$F,0)))</f>
        <v/>
      </c>
      <c r="D4" s="4">
        <f>IF(A4="","",INDEX(PRPO!$C:$C,MATCH(A4,PRPO!$F:$F,0)))</f>
        <v/>
      </c>
      <c r="E4" s="4">
        <f>IF(A4="","",IFERROR(INDEX(IQC!$C:$C,MATCH(A4,IQC!$A:$A,0)),0))</f>
        <v/>
      </c>
      <c r="F4" s="4">
        <f>IF(OR(A4="",D4="",C4=""),"",D4*C4)</f>
        <v/>
      </c>
      <c r="G4" s="3" t="n"/>
      <c r="H4" s="4">
        <f>IF(OR(G4="",F4=""),"",G4-F4)</f>
        <v/>
      </c>
      <c r="I4" s="8" t="n">
        <v>0.01</v>
      </c>
      <c r="J4" s="9">
        <f>IF(OR(G4="",F4=""),"",IF(ABS(H4)&lt;=I4,"通过","异常"))</f>
        <v/>
      </c>
      <c r="K4" s="3" t="n"/>
    </row>
    <row r="5">
      <c r="A5" s="7" t="n"/>
      <c r="B5" s="4">
        <f>IF(A5="","",INDEX(PRPO!$H:$H,MATCH(A5,PRPO!$F:$F,0)))</f>
        <v/>
      </c>
      <c r="C5" s="4">
        <f>IF(A5="","",INDEX(PRPO!$G:$G,MATCH(A5,PRPO!$F:$F,0)))</f>
        <v/>
      </c>
      <c r="D5" s="4">
        <f>IF(A5="","",INDEX(PRPO!$C:$C,MATCH(A5,PRPO!$F:$F,0)))</f>
        <v/>
      </c>
      <c r="E5" s="4">
        <f>IF(A5="","",IFERROR(INDEX(IQC!$C:$C,MATCH(A5,IQC!$A:$A,0)),0))</f>
        <v/>
      </c>
      <c r="F5" s="4">
        <f>IF(OR(A5="",D5="",C5=""),"",D5*C5)</f>
        <v/>
      </c>
      <c r="G5" s="3" t="n"/>
      <c r="H5" s="4">
        <f>IF(OR(G5="",F5=""),"",G5-F5)</f>
        <v/>
      </c>
      <c r="I5" s="8" t="n">
        <v>0.01</v>
      </c>
      <c r="J5" s="9">
        <f>IF(OR(G5="",F5=""),"",IF(ABS(H5)&lt;=I5,"通过","异常"))</f>
        <v/>
      </c>
      <c r="K5" s="3" t="n"/>
    </row>
    <row r="6">
      <c r="A6" s="7" t="n"/>
      <c r="B6" s="4">
        <f>IF(A6="","",INDEX(PRPO!$H:$H,MATCH(A6,PRPO!$F:$F,0)))</f>
        <v/>
      </c>
      <c r="C6" s="4">
        <f>IF(A6="","",INDEX(PRPO!$G:$G,MATCH(A6,PRPO!$F:$F,0)))</f>
        <v/>
      </c>
      <c r="D6" s="4">
        <f>IF(A6="","",INDEX(PRPO!$C:$C,MATCH(A6,PRPO!$F:$F,0)))</f>
        <v/>
      </c>
      <c r="E6" s="4">
        <f>IF(A6="","",IFERROR(INDEX(IQC!$C:$C,MATCH(A6,IQC!$A:$A,0)),0))</f>
        <v/>
      </c>
      <c r="F6" s="4">
        <f>IF(OR(A6="",D6="",C6=""),"",D6*C6)</f>
        <v/>
      </c>
      <c r="G6" s="3" t="n"/>
      <c r="H6" s="4">
        <f>IF(OR(G6="",F6=""),"",G6-F6)</f>
        <v/>
      </c>
      <c r="I6" s="8" t="n">
        <v>0.01</v>
      </c>
      <c r="J6" s="9">
        <f>IF(OR(G6="",F6=""),"",IF(ABS(H6)&lt;=I6,"通过","异常"))</f>
        <v/>
      </c>
      <c r="K6" s="3" t="n"/>
    </row>
    <row r="7">
      <c r="A7" s="7" t="n"/>
      <c r="B7" s="4">
        <f>IF(A7="","",INDEX(PRPO!$H:$H,MATCH(A7,PRPO!$F:$F,0)))</f>
        <v/>
      </c>
      <c r="C7" s="4">
        <f>IF(A7="","",INDEX(PRPO!$G:$G,MATCH(A7,PRPO!$F:$F,0)))</f>
        <v/>
      </c>
      <c r="D7" s="4">
        <f>IF(A7="","",INDEX(PRPO!$C:$C,MATCH(A7,PRPO!$F:$F,0)))</f>
        <v/>
      </c>
      <c r="E7" s="4">
        <f>IF(A7="","",IFERROR(INDEX(IQC!$C:$C,MATCH(A7,IQC!$A:$A,0)),0))</f>
        <v/>
      </c>
      <c r="F7" s="4">
        <f>IF(OR(A7="",D7="",C7=""),"",D7*C7)</f>
        <v/>
      </c>
      <c r="G7" s="3" t="n"/>
      <c r="H7" s="4">
        <f>IF(OR(G7="",F7=""),"",G7-F7)</f>
        <v/>
      </c>
      <c r="I7" s="8" t="n">
        <v>0.01</v>
      </c>
      <c r="J7" s="9">
        <f>IF(OR(G7="",F7=""),"",IF(ABS(H7)&lt;=I7,"通过","异常"))</f>
        <v/>
      </c>
      <c r="K7" s="3" t="n"/>
    </row>
    <row r="8">
      <c r="A8" s="7" t="n"/>
      <c r="B8" s="4">
        <f>IF(A8="","",INDEX(PRPO!$H:$H,MATCH(A8,PRPO!$F:$F,0)))</f>
        <v/>
      </c>
      <c r="C8" s="4">
        <f>IF(A8="","",INDEX(PRPO!$G:$G,MATCH(A8,PRPO!$F:$F,0)))</f>
        <v/>
      </c>
      <c r="D8" s="4">
        <f>IF(A8="","",INDEX(PRPO!$C:$C,MATCH(A8,PRPO!$F:$F,0)))</f>
        <v/>
      </c>
      <c r="E8" s="4">
        <f>IF(A8="","",IFERROR(INDEX(IQC!$C:$C,MATCH(A8,IQC!$A:$A,0)),0))</f>
        <v/>
      </c>
      <c r="F8" s="4">
        <f>IF(OR(A8="",D8="",C8=""),"",D8*C8)</f>
        <v/>
      </c>
      <c r="G8" s="3" t="n"/>
      <c r="H8" s="4">
        <f>IF(OR(G8="",F8=""),"",G8-F8)</f>
        <v/>
      </c>
      <c r="I8" s="8" t="n">
        <v>0.01</v>
      </c>
      <c r="J8" s="9">
        <f>IF(OR(G8="",F8=""),"",IF(ABS(H8)&lt;=I8,"通过","异常"))</f>
        <v/>
      </c>
      <c r="K8" s="3" t="n"/>
    </row>
    <row r="9">
      <c r="A9" s="7" t="n"/>
      <c r="B9" s="4">
        <f>IF(A9="","",INDEX(PRPO!$H:$H,MATCH(A9,PRPO!$F:$F,0)))</f>
        <v/>
      </c>
      <c r="C9" s="4">
        <f>IF(A9="","",INDEX(PRPO!$G:$G,MATCH(A9,PRPO!$F:$F,0)))</f>
        <v/>
      </c>
      <c r="D9" s="4">
        <f>IF(A9="","",INDEX(PRPO!$C:$C,MATCH(A9,PRPO!$F:$F,0)))</f>
        <v/>
      </c>
      <c r="E9" s="4">
        <f>IF(A9="","",IFERROR(INDEX(IQC!$C:$C,MATCH(A9,IQC!$A:$A,0)),0))</f>
        <v/>
      </c>
      <c r="F9" s="4">
        <f>IF(OR(A9="",D9="",C9=""),"",D9*C9)</f>
        <v/>
      </c>
      <c r="G9" s="3" t="n"/>
      <c r="H9" s="4">
        <f>IF(OR(G9="",F9=""),"",G9-F9)</f>
        <v/>
      </c>
      <c r="I9" s="8" t="n">
        <v>0.01</v>
      </c>
      <c r="J9" s="9">
        <f>IF(OR(G9="",F9=""),"",IF(ABS(H9)&lt;=I9,"通过","异常"))</f>
        <v/>
      </c>
      <c r="K9" s="3" t="n"/>
    </row>
    <row r="10">
      <c r="A10" s="7" t="n"/>
      <c r="B10" s="4">
        <f>IF(A10="","",INDEX(PRPO!$H:$H,MATCH(A10,PRPO!$F:$F,0)))</f>
        <v/>
      </c>
      <c r="C10" s="4">
        <f>IF(A10="","",INDEX(PRPO!$G:$G,MATCH(A10,PRPO!$F:$F,0)))</f>
        <v/>
      </c>
      <c r="D10" s="4">
        <f>IF(A10="","",INDEX(PRPO!$C:$C,MATCH(A10,PRPO!$F:$F,0)))</f>
        <v/>
      </c>
      <c r="E10" s="4">
        <f>IF(A10="","",IFERROR(INDEX(IQC!$C:$C,MATCH(A10,IQC!$A:$A,0)),0))</f>
        <v/>
      </c>
      <c r="F10" s="4">
        <f>IF(OR(A10="",D10="",C10=""),"",D10*C10)</f>
        <v/>
      </c>
      <c r="G10" s="3" t="n"/>
      <c r="H10" s="4">
        <f>IF(OR(G10="",F10=""),"",G10-F10)</f>
        <v/>
      </c>
      <c r="I10" s="8" t="n">
        <v>0.01</v>
      </c>
      <c r="J10" s="9">
        <f>IF(OR(G10="",F10=""),"",IF(ABS(H10)&lt;=I10,"通过","异常"))</f>
        <v/>
      </c>
      <c r="K10" s="3" t="n"/>
    </row>
    <row r="11">
      <c r="A11" s="7" t="n"/>
      <c r="B11" s="4">
        <f>IF(A11="","",INDEX(PRPO!$H:$H,MATCH(A11,PRPO!$F:$F,0)))</f>
        <v/>
      </c>
      <c r="C11" s="4">
        <f>IF(A11="","",INDEX(PRPO!$G:$G,MATCH(A11,PRPO!$F:$F,0)))</f>
        <v/>
      </c>
      <c r="D11" s="4">
        <f>IF(A11="","",INDEX(PRPO!$C:$C,MATCH(A11,PRPO!$F:$F,0)))</f>
        <v/>
      </c>
      <c r="E11" s="4">
        <f>IF(A11="","",IFERROR(INDEX(IQC!$C:$C,MATCH(A11,IQC!$A:$A,0)),0))</f>
        <v/>
      </c>
      <c r="F11" s="4">
        <f>IF(OR(A11="",D11="",C11=""),"",D11*C11)</f>
        <v/>
      </c>
      <c r="G11" s="3" t="n"/>
      <c r="H11" s="4">
        <f>IF(OR(G11="",F11=""),"",G11-F11)</f>
        <v/>
      </c>
      <c r="I11" s="8" t="n">
        <v>0.01</v>
      </c>
      <c r="J11" s="9">
        <f>IF(OR(G11="",F11=""),"",IF(ABS(H11)&lt;=I11,"通过","异常"))</f>
        <v/>
      </c>
      <c r="K11" s="3" t="n"/>
    </row>
    <row r="12">
      <c r="A12" s="7" t="n"/>
      <c r="B12" s="4">
        <f>IF(A12="","",INDEX(PRPO!$H:$H,MATCH(A12,PRPO!$F:$F,0)))</f>
        <v/>
      </c>
      <c r="C12" s="4">
        <f>IF(A12="","",INDEX(PRPO!$G:$G,MATCH(A12,PRPO!$F:$F,0)))</f>
        <v/>
      </c>
      <c r="D12" s="4">
        <f>IF(A12="","",INDEX(PRPO!$C:$C,MATCH(A12,PRPO!$F:$F,0)))</f>
        <v/>
      </c>
      <c r="E12" s="4">
        <f>IF(A12="","",IFERROR(INDEX(IQC!$C:$C,MATCH(A12,IQC!$A:$A,0)),0))</f>
        <v/>
      </c>
      <c r="F12" s="4">
        <f>IF(OR(A12="",D12="",C12=""),"",D12*C12)</f>
        <v/>
      </c>
      <c r="G12" s="3" t="n"/>
      <c r="H12" s="4">
        <f>IF(OR(G12="",F12=""),"",G12-F12)</f>
        <v/>
      </c>
      <c r="I12" s="8" t="n">
        <v>0.01</v>
      </c>
      <c r="J12" s="9">
        <f>IF(OR(G12="",F12=""),"",IF(ABS(H12)&lt;=I12,"通过","异常"))</f>
        <v/>
      </c>
      <c r="K12" s="3" t="n"/>
    </row>
    <row r="13">
      <c r="A13" s="7" t="n"/>
      <c r="B13" s="4">
        <f>IF(A13="","",INDEX(PRPO!$H:$H,MATCH(A13,PRPO!$F:$F,0)))</f>
        <v/>
      </c>
      <c r="C13" s="4">
        <f>IF(A13="","",INDEX(PRPO!$G:$G,MATCH(A13,PRPO!$F:$F,0)))</f>
        <v/>
      </c>
      <c r="D13" s="4">
        <f>IF(A13="","",INDEX(PRPO!$C:$C,MATCH(A13,PRPO!$F:$F,0)))</f>
        <v/>
      </c>
      <c r="E13" s="4">
        <f>IF(A13="","",IFERROR(INDEX(IQC!$C:$C,MATCH(A13,IQC!$A:$A,0)),0))</f>
        <v/>
      </c>
      <c r="F13" s="4">
        <f>IF(OR(A13="",D13="",C13=""),"",D13*C13)</f>
        <v/>
      </c>
      <c r="G13" s="3" t="n"/>
      <c r="H13" s="4">
        <f>IF(OR(G13="",F13=""),"",G13-F13)</f>
        <v/>
      </c>
      <c r="I13" s="8" t="n">
        <v>0.01</v>
      </c>
      <c r="J13" s="9">
        <f>IF(OR(G13="",F13=""),"",IF(ABS(H13)&lt;=I13,"通过","异常"))</f>
        <v/>
      </c>
      <c r="K13" s="3" t="n"/>
    </row>
    <row r="14">
      <c r="A14" s="7" t="n"/>
      <c r="B14" s="4">
        <f>IF(A14="","",INDEX(PRPO!$H:$H,MATCH(A14,PRPO!$F:$F,0)))</f>
        <v/>
      </c>
      <c r="C14" s="4">
        <f>IF(A14="","",INDEX(PRPO!$G:$G,MATCH(A14,PRPO!$F:$F,0)))</f>
        <v/>
      </c>
      <c r="D14" s="4">
        <f>IF(A14="","",INDEX(PRPO!$C:$C,MATCH(A14,PRPO!$F:$F,0)))</f>
        <v/>
      </c>
      <c r="E14" s="4">
        <f>IF(A14="","",IFERROR(INDEX(IQC!$C:$C,MATCH(A14,IQC!$A:$A,0)),0))</f>
        <v/>
      </c>
      <c r="F14" s="4">
        <f>IF(OR(A14="",D14="",C14=""),"",D14*C14)</f>
        <v/>
      </c>
      <c r="G14" s="3" t="n"/>
      <c r="H14" s="4">
        <f>IF(OR(G14="",F14=""),"",G14-F14)</f>
        <v/>
      </c>
      <c r="I14" s="8" t="n">
        <v>0.01</v>
      </c>
      <c r="J14" s="9">
        <f>IF(OR(G14="",F14=""),"",IF(ABS(H14)&lt;=I14,"通过","异常"))</f>
        <v/>
      </c>
      <c r="K14" s="3" t="n"/>
    </row>
    <row r="15">
      <c r="A15" s="7" t="n"/>
      <c r="B15" s="4">
        <f>IF(A15="","",INDEX(PRPO!$H:$H,MATCH(A15,PRPO!$F:$F,0)))</f>
        <v/>
      </c>
      <c r="C15" s="4">
        <f>IF(A15="","",INDEX(PRPO!$G:$G,MATCH(A15,PRPO!$F:$F,0)))</f>
        <v/>
      </c>
      <c r="D15" s="4">
        <f>IF(A15="","",INDEX(PRPO!$C:$C,MATCH(A15,PRPO!$F:$F,0)))</f>
        <v/>
      </c>
      <c r="E15" s="4">
        <f>IF(A15="","",IFERROR(INDEX(IQC!$C:$C,MATCH(A15,IQC!$A:$A,0)),0))</f>
        <v/>
      </c>
      <c r="F15" s="4">
        <f>IF(OR(A15="",D15="",C15=""),"",D15*C15)</f>
        <v/>
      </c>
      <c r="G15" s="3" t="n"/>
      <c r="H15" s="4">
        <f>IF(OR(G15="",F15=""),"",G15-F15)</f>
        <v/>
      </c>
      <c r="I15" s="8" t="n">
        <v>0.01</v>
      </c>
      <c r="J15" s="9">
        <f>IF(OR(G15="",F15=""),"",IF(ABS(H15)&lt;=I15,"通过","异常"))</f>
        <v/>
      </c>
      <c r="K15" s="3" t="n"/>
    </row>
    <row r="16">
      <c r="A16" s="7" t="n"/>
      <c r="B16" s="4">
        <f>IF(A16="","",INDEX(PRPO!$H:$H,MATCH(A16,PRPO!$F:$F,0)))</f>
        <v/>
      </c>
      <c r="C16" s="4">
        <f>IF(A16="","",INDEX(PRPO!$G:$G,MATCH(A16,PRPO!$F:$F,0)))</f>
        <v/>
      </c>
      <c r="D16" s="4">
        <f>IF(A16="","",INDEX(PRPO!$C:$C,MATCH(A16,PRPO!$F:$F,0)))</f>
        <v/>
      </c>
      <c r="E16" s="4">
        <f>IF(A16="","",IFERROR(INDEX(IQC!$C:$C,MATCH(A16,IQC!$A:$A,0)),0))</f>
        <v/>
      </c>
      <c r="F16" s="4">
        <f>IF(OR(A16="",D16="",C16=""),"",D16*C16)</f>
        <v/>
      </c>
      <c r="G16" s="3" t="n"/>
      <c r="H16" s="4">
        <f>IF(OR(G16="",F16=""),"",G16-F16)</f>
        <v/>
      </c>
      <c r="I16" s="8" t="n">
        <v>0.01</v>
      </c>
      <c r="J16" s="9">
        <f>IF(OR(G16="",F16=""),"",IF(ABS(H16)&lt;=I16,"通过","异常"))</f>
        <v/>
      </c>
      <c r="K16" s="3" t="n"/>
    </row>
    <row r="17">
      <c r="A17" s="7" t="n"/>
      <c r="B17" s="4">
        <f>IF(A17="","",INDEX(PRPO!$H:$H,MATCH(A17,PRPO!$F:$F,0)))</f>
        <v/>
      </c>
      <c r="C17" s="4">
        <f>IF(A17="","",INDEX(PRPO!$G:$G,MATCH(A17,PRPO!$F:$F,0)))</f>
        <v/>
      </c>
      <c r="D17" s="4">
        <f>IF(A17="","",INDEX(PRPO!$C:$C,MATCH(A17,PRPO!$F:$F,0)))</f>
        <v/>
      </c>
      <c r="E17" s="4">
        <f>IF(A17="","",IFERROR(INDEX(IQC!$C:$C,MATCH(A17,IQC!$A:$A,0)),0))</f>
        <v/>
      </c>
      <c r="F17" s="4">
        <f>IF(OR(A17="",D17="",C17=""),"",D17*C17)</f>
        <v/>
      </c>
      <c r="G17" s="3" t="n"/>
      <c r="H17" s="4">
        <f>IF(OR(G17="",F17=""),"",G17-F17)</f>
        <v/>
      </c>
      <c r="I17" s="8" t="n">
        <v>0.01</v>
      </c>
      <c r="J17" s="9">
        <f>IF(OR(G17="",F17=""),"",IF(ABS(H17)&lt;=I17,"通过","异常"))</f>
        <v/>
      </c>
      <c r="K17" s="3" t="n"/>
    </row>
    <row r="18">
      <c r="A18" s="7" t="n"/>
      <c r="B18" s="4">
        <f>IF(A18="","",INDEX(PRPO!$H:$H,MATCH(A18,PRPO!$F:$F,0)))</f>
        <v/>
      </c>
      <c r="C18" s="4">
        <f>IF(A18="","",INDEX(PRPO!$G:$G,MATCH(A18,PRPO!$F:$F,0)))</f>
        <v/>
      </c>
      <c r="D18" s="4">
        <f>IF(A18="","",INDEX(PRPO!$C:$C,MATCH(A18,PRPO!$F:$F,0)))</f>
        <v/>
      </c>
      <c r="E18" s="4">
        <f>IF(A18="","",IFERROR(INDEX(IQC!$C:$C,MATCH(A18,IQC!$A:$A,0)),0))</f>
        <v/>
      </c>
      <c r="F18" s="4">
        <f>IF(OR(A18="",D18="",C18=""),"",D18*C18)</f>
        <v/>
      </c>
      <c r="G18" s="3" t="n"/>
      <c r="H18" s="4">
        <f>IF(OR(G18="",F18=""),"",G18-F18)</f>
        <v/>
      </c>
      <c r="I18" s="8" t="n">
        <v>0.01</v>
      </c>
      <c r="J18" s="9">
        <f>IF(OR(G18="",F18=""),"",IF(ABS(H18)&lt;=I18,"通过","异常"))</f>
        <v/>
      </c>
      <c r="K18" s="3" t="n"/>
    </row>
    <row r="19">
      <c r="A19" s="7" t="n"/>
      <c r="B19" s="4">
        <f>IF(A19="","",INDEX(PRPO!$H:$H,MATCH(A19,PRPO!$F:$F,0)))</f>
        <v/>
      </c>
      <c r="C19" s="4">
        <f>IF(A19="","",INDEX(PRPO!$G:$G,MATCH(A19,PRPO!$F:$F,0)))</f>
        <v/>
      </c>
      <c r="D19" s="4">
        <f>IF(A19="","",INDEX(PRPO!$C:$C,MATCH(A19,PRPO!$F:$F,0)))</f>
        <v/>
      </c>
      <c r="E19" s="4">
        <f>IF(A19="","",IFERROR(INDEX(IQC!$C:$C,MATCH(A19,IQC!$A:$A,0)),0))</f>
        <v/>
      </c>
      <c r="F19" s="4">
        <f>IF(OR(A19="",D19="",C19=""),"",D19*C19)</f>
        <v/>
      </c>
      <c r="G19" s="3" t="n"/>
      <c r="H19" s="4">
        <f>IF(OR(G19="",F19=""),"",G19-F19)</f>
        <v/>
      </c>
      <c r="I19" s="8" t="n">
        <v>0.01</v>
      </c>
      <c r="J19" s="9">
        <f>IF(OR(G19="",F19=""),"",IF(ABS(H19)&lt;=I19,"通过","异常"))</f>
        <v/>
      </c>
      <c r="K19" s="3" t="n"/>
    </row>
    <row r="20">
      <c r="A20" s="7" t="n"/>
      <c r="B20" s="4">
        <f>IF(A20="","",INDEX(PRPO!$H:$H,MATCH(A20,PRPO!$F:$F,0)))</f>
        <v/>
      </c>
      <c r="C20" s="4">
        <f>IF(A20="","",INDEX(PRPO!$G:$G,MATCH(A20,PRPO!$F:$F,0)))</f>
        <v/>
      </c>
      <c r="D20" s="4">
        <f>IF(A20="","",INDEX(PRPO!$C:$C,MATCH(A20,PRPO!$F:$F,0)))</f>
        <v/>
      </c>
      <c r="E20" s="4">
        <f>IF(A20="","",IFERROR(INDEX(IQC!$C:$C,MATCH(A20,IQC!$A:$A,0)),0))</f>
        <v/>
      </c>
      <c r="F20" s="4">
        <f>IF(OR(A20="",D20="",C20=""),"",D20*C20)</f>
        <v/>
      </c>
      <c r="G20" s="3" t="n"/>
      <c r="H20" s="4">
        <f>IF(OR(G20="",F20=""),"",G20-F20)</f>
        <v/>
      </c>
      <c r="I20" s="8" t="n">
        <v>0.01</v>
      </c>
      <c r="J20" s="9">
        <f>IF(OR(G20="",F20=""),"",IF(ABS(H20)&lt;=I20,"通过","异常"))</f>
        <v/>
      </c>
      <c r="K20" s="3" t="n"/>
    </row>
    <row r="21">
      <c r="A21" s="7" t="n"/>
      <c r="B21" s="4">
        <f>IF(A21="","",INDEX(PRPO!$H:$H,MATCH(A21,PRPO!$F:$F,0)))</f>
        <v/>
      </c>
      <c r="C21" s="4">
        <f>IF(A21="","",INDEX(PRPO!$G:$G,MATCH(A21,PRPO!$F:$F,0)))</f>
        <v/>
      </c>
      <c r="D21" s="4">
        <f>IF(A21="","",INDEX(PRPO!$C:$C,MATCH(A21,PRPO!$F:$F,0)))</f>
        <v/>
      </c>
      <c r="E21" s="4">
        <f>IF(A21="","",IFERROR(INDEX(IQC!$C:$C,MATCH(A21,IQC!$A:$A,0)),0))</f>
        <v/>
      </c>
      <c r="F21" s="4">
        <f>IF(OR(A21="",D21="",C21=""),"",D21*C21)</f>
        <v/>
      </c>
      <c r="G21" s="3" t="n"/>
      <c r="H21" s="4">
        <f>IF(OR(G21="",F21=""),"",G21-F21)</f>
        <v/>
      </c>
      <c r="I21" s="8" t="n">
        <v>0.01</v>
      </c>
      <c r="J21" s="9">
        <f>IF(OR(G21="",F21=""),"",IF(ABS(H21)&lt;=I21,"通过","异常"))</f>
        <v/>
      </c>
      <c r="K21" s="3" t="n"/>
    </row>
    <row r="22">
      <c r="A22" s="7" t="n"/>
      <c r="B22" s="4">
        <f>IF(A22="","",INDEX(PRPO!$H:$H,MATCH(A22,PRPO!$F:$F,0)))</f>
        <v/>
      </c>
      <c r="C22" s="4">
        <f>IF(A22="","",INDEX(PRPO!$G:$G,MATCH(A22,PRPO!$F:$F,0)))</f>
        <v/>
      </c>
      <c r="D22" s="4">
        <f>IF(A22="","",INDEX(PRPO!$C:$C,MATCH(A22,PRPO!$F:$F,0)))</f>
        <v/>
      </c>
      <c r="E22" s="4">
        <f>IF(A22="","",IFERROR(INDEX(IQC!$C:$C,MATCH(A22,IQC!$A:$A,0)),0))</f>
        <v/>
      </c>
      <c r="F22" s="4">
        <f>IF(OR(A22="",D22="",C22=""),"",D22*C22)</f>
        <v/>
      </c>
      <c r="G22" s="3" t="n"/>
      <c r="H22" s="4">
        <f>IF(OR(G22="",F22=""),"",G22-F22)</f>
        <v/>
      </c>
      <c r="I22" s="8" t="n">
        <v>0.01</v>
      </c>
      <c r="J22" s="9">
        <f>IF(OR(G22="",F22=""),"",IF(ABS(H22)&lt;=I22,"通过","异常"))</f>
        <v/>
      </c>
      <c r="K22" s="3" t="n"/>
    </row>
    <row r="23">
      <c r="A23" s="7" t="n"/>
      <c r="B23" s="4">
        <f>IF(A23="","",INDEX(PRPO!$H:$H,MATCH(A23,PRPO!$F:$F,0)))</f>
        <v/>
      </c>
      <c r="C23" s="4">
        <f>IF(A23="","",INDEX(PRPO!$G:$G,MATCH(A23,PRPO!$F:$F,0)))</f>
        <v/>
      </c>
      <c r="D23" s="4">
        <f>IF(A23="","",INDEX(PRPO!$C:$C,MATCH(A23,PRPO!$F:$F,0)))</f>
        <v/>
      </c>
      <c r="E23" s="4">
        <f>IF(A23="","",IFERROR(INDEX(IQC!$C:$C,MATCH(A23,IQC!$A:$A,0)),0))</f>
        <v/>
      </c>
      <c r="F23" s="4">
        <f>IF(OR(A23="",D23="",C23=""),"",D23*C23)</f>
        <v/>
      </c>
      <c r="G23" s="3" t="n"/>
      <c r="H23" s="4">
        <f>IF(OR(G23="",F23=""),"",G23-F23)</f>
        <v/>
      </c>
      <c r="I23" s="8" t="n">
        <v>0.01</v>
      </c>
      <c r="J23" s="9">
        <f>IF(OR(G23="",F23=""),"",IF(ABS(H23)&lt;=I23,"通过","异常"))</f>
        <v/>
      </c>
      <c r="K23" s="3" t="n"/>
    </row>
    <row r="24">
      <c r="A24" s="7" t="n"/>
      <c r="B24" s="4">
        <f>IF(A24="","",INDEX(PRPO!$H:$H,MATCH(A24,PRPO!$F:$F,0)))</f>
        <v/>
      </c>
      <c r="C24" s="4">
        <f>IF(A24="","",INDEX(PRPO!$G:$G,MATCH(A24,PRPO!$F:$F,0)))</f>
        <v/>
      </c>
      <c r="D24" s="4">
        <f>IF(A24="","",INDEX(PRPO!$C:$C,MATCH(A24,PRPO!$F:$F,0)))</f>
        <v/>
      </c>
      <c r="E24" s="4">
        <f>IF(A24="","",IFERROR(INDEX(IQC!$C:$C,MATCH(A24,IQC!$A:$A,0)),0))</f>
        <v/>
      </c>
      <c r="F24" s="4">
        <f>IF(OR(A24="",D24="",C24=""),"",D24*C24)</f>
        <v/>
      </c>
      <c r="G24" s="3" t="n"/>
      <c r="H24" s="4">
        <f>IF(OR(G24="",F24=""),"",G24-F24)</f>
        <v/>
      </c>
      <c r="I24" s="8" t="n">
        <v>0.01</v>
      </c>
      <c r="J24" s="9">
        <f>IF(OR(G24="",F24=""),"",IF(ABS(H24)&lt;=I24,"通过","异常"))</f>
        <v/>
      </c>
      <c r="K24" s="3" t="n"/>
    </row>
    <row r="25">
      <c r="A25" s="7" t="n"/>
      <c r="B25" s="4">
        <f>IF(A25="","",INDEX(PRPO!$H:$H,MATCH(A25,PRPO!$F:$F,0)))</f>
        <v/>
      </c>
      <c r="C25" s="4">
        <f>IF(A25="","",INDEX(PRPO!$G:$G,MATCH(A25,PRPO!$F:$F,0)))</f>
        <v/>
      </c>
      <c r="D25" s="4">
        <f>IF(A25="","",INDEX(PRPO!$C:$C,MATCH(A25,PRPO!$F:$F,0)))</f>
        <v/>
      </c>
      <c r="E25" s="4">
        <f>IF(A25="","",IFERROR(INDEX(IQC!$C:$C,MATCH(A25,IQC!$A:$A,0)),0))</f>
        <v/>
      </c>
      <c r="F25" s="4">
        <f>IF(OR(A25="",D25="",C25=""),"",D25*C25)</f>
        <v/>
      </c>
      <c r="G25" s="3" t="n"/>
      <c r="H25" s="4">
        <f>IF(OR(G25="",F25=""),"",G25-F25)</f>
        <v/>
      </c>
      <c r="I25" s="8" t="n">
        <v>0.01</v>
      </c>
      <c r="J25" s="9">
        <f>IF(OR(G25="",F25=""),"",IF(ABS(H25)&lt;=I25,"通过","异常"))</f>
        <v/>
      </c>
      <c r="K25" s="3" t="n"/>
    </row>
    <row r="26">
      <c r="A26" s="7" t="n"/>
      <c r="B26" s="4">
        <f>IF(A26="","",INDEX(PRPO!$H:$H,MATCH(A26,PRPO!$F:$F,0)))</f>
        <v/>
      </c>
      <c r="C26" s="4">
        <f>IF(A26="","",INDEX(PRPO!$G:$G,MATCH(A26,PRPO!$F:$F,0)))</f>
        <v/>
      </c>
      <c r="D26" s="4">
        <f>IF(A26="","",INDEX(PRPO!$C:$C,MATCH(A26,PRPO!$F:$F,0)))</f>
        <v/>
      </c>
      <c r="E26" s="4">
        <f>IF(A26="","",IFERROR(INDEX(IQC!$C:$C,MATCH(A26,IQC!$A:$A,0)),0))</f>
        <v/>
      </c>
      <c r="F26" s="4">
        <f>IF(OR(A26="",D26="",C26=""),"",D26*C26)</f>
        <v/>
      </c>
      <c r="G26" s="3" t="n"/>
      <c r="H26" s="4">
        <f>IF(OR(G26="",F26=""),"",G26-F26)</f>
        <v/>
      </c>
      <c r="I26" s="8" t="n">
        <v>0.01</v>
      </c>
      <c r="J26" s="9">
        <f>IF(OR(G26="",F26=""),"",IF(ABS(H26)&lt;=I26,"通过","异常"))</f>
        <v/>
      </c>
      <c r="K26" s="3" t="n"/>
    </row>
    <row r="27">
      <c r="A27" s="7" t="n"/>
      <c r="B27" s="4">
        <f>IF(A27="","",INDEX(PRPO!$H:$H,MATCH(A27,PRPO!$F:$F,0)))</f>
        <v/>
      </c>
      <c r="C27" s="4">
        <f>IF(A27="","",INDEX(PRPO!$G:$G,MATCH(A27,PRPO!$F:$F,0)))</f>
        <v/>
      </c>
      <c r="D27" s="4">
        <f>IF(A27="","",INDEX(PRPO!$C:$C,MATCH(A27,PRPO!$F:$F,0)))</f>
        <v/>
      </c>
      <c r="E27" s="4">
        <f>IF(A27="","",IFERROR(INDEX(IQC!$C:$C,MATCH(A27,IQC!$A:$A,0)),0))</f>
        <v/>
      </c>
      <c r="F27" s="4">
        <f>IF(OR(A27="",D27="",C27=""),"",D27*C27)</f>
        <v/>
      </c>
      <c r="G27" s="3" t="n"/>
      <c r="H27" s="4">
        <f>IF(OR(G27="",F27=""),"",G27-F27)</f>
        <v/>
      </c>
      <c r="I27" s="8" t="n">
        <v>0.01</v>
      </c>
      <c r="J27" s="9">
        <f>IF(OR(G27="",F27=""),"",IF(ABS(H27)&lt;=I27,"通过","异常"))</f>
        <v/>
      </c>
      <c r="K27" s="3" t="n"/>
    </row>
    <row r="28">
      <c r="A28" s="7" t="n"/>
      <c r="B28" s="4">
        <f>IF(A28="","",INDEX(PRPO!$H:$H,MATCH(A28,PRPO!$F:$F,0)))</f>
        <v/>
      </c>
      <c r="C28" s="4">
        <f>IF(A28="","",INDEX(PRPO!$G:$G,MATCH(A28,PRPO!$F:$F,0)))</f>
        <v/>
      </c>
      <c r="D28" s="4">
        <f>IF(A28="","",INDEX(PRPO!$C:$C,MATCH(A28,PRPO!$F:$F,0)))</f>
        <v/>
      </c>
      <c r="E28" s="4">
        <f>IF(A28="","",IFERROR(INDEX(IQC!$C:$C,MATCH(A28,IQC!$A:$A,0)),0))</f>
        <v/>
      </c>
      <c r="F28" s="4">
        <f>IF(OR(A28="",D28="",C28=""),"",D28*C28)</f>
        <v/>
      </c>
      <c r="G28" s="3" t="n"/>
      <c r="H28" s="4">
        <f>IF(OR(G28="",F28=""),"",G28-F28)</f>
        <v/>
      </c>
      <c r="I28" s="8" t="n">
        <v>0.01</v>
      </c>
      <c r="J28" s="9">
        <f>IF(OR(G28="",F28=""),"",IF(ABS(H28)&lt;=I28,"通过","异常"))</f>
        <v/>
      </c>
      <c r="K28" s="3" t="n"/>
    </row>
    <row r="29">
      <c r="A29" s="7" t="n"/>
      <c r="B29" s="4">
        <f>IF(A29="","",INDEX(PRPO!$H:$H,MATCH(A29,PRPO!$F:$F,0)))</f>
        <v/>
      </c>
      <c r="C29" s="4">
        <f>IF(A29="","",INDEX(PRPO!$G:$G,MATCH(A29,PRPO!$F:$F,0)))</f>
        <v/>
      </c>
      <c r="D29" s="4">
        <f>IF(A29="","",INDEX(PRPO!$C:$C,MATCH(A29,PRPO!$F:$F,0)))</f>
        <v/>
      </c>
      <c r="E29" s="4">
        <f>IF(A29="","",IFERROR(INDEX(IQC!$C:$C,MATCH(A29,IQC!$A:$A,0)),0))</f>
        <v/>
      </c>
      <c r="F29" s="4">
        <f>IF(OR(A29="",D29="",C29=""),"",D29*C29)</f>
        <v/>
      </c>
      <c r="G29" s="3" t="n"/>
      <c r="H29" s="4">
        <f>IF(OR(G29="",F29=""),"",G29-F29)</f>
        <v/>
      </c>
      <c r="I29" s="8" t="n">
        <v>0.01</v>
      </c>
      <c r="J29" s="9">
        <f>IF(OR(G29="",F29=""),"",IF(ABS(H29)&lt;=I29,"通过","异常"))</f>
        <v/>
      </c>
      <c r="K29" s="3" t="n"/>
    </row>
    <row r="30">
      <c r="A30" s="7" t="n"/>
      <c r="B30" s="4">
        <f>IF(A30="","",INDEX(PRPO!$H:$H,MATCH(A30,PRPO!$F:$F,0)))</f>
        <v/>
      </c>
      <c r="C30" s="4">
        <f>IF(A30="","",INDEX(PRPO!$G:$G,MATCH(A30,PRPO!$F:$F,0)))</f>
        <v/>
      </c>
      <c r="D30" s="4">
        <f>IF(A30="","",INDEX(PRPO!$C:$C,MATCH(A30,PRPO!$F:$F,0)))</f>
        <v/>
      </c>
      <c r="E30" s="4">
        <f>IF(A30="","",IFERROR(INDEX(IQC!$C:$C,MATCH(A30,IQC!$A:$A,0)),0))</f>
        <v/>
      </c>
      <c r="F30" s="4">
        <f>IF(OR(A30="",D30="",C30=""),"",D30*C30)</f>
        <v/>
      </c>
      <c r="G30" s="3" t="n"/>
      <c r="H30" s="4">
        <f>IF(OR(G30="",F30=""),"",G30-F30)</f>
        <v/>
      </c>
      <c r="I30" s="8" t="n">
        <v>0.01</v>
      </c>
      <c r="J30" s="9">
        <f>IF(OR(G30="",F30=""),"",IF(ABS(H30)&lt;=I30,"通过","异常"))</f>
        <v/>
      </c>
      <c r="K30" s="3" t="n"/>
    </row>
    <row r="31">
      <c r="A31" s="7" t="n"/>
      <c r="B31" s="4">
        <f>IF(A31="","",INDEX(PRPO!$H:$H,MATCH(A31,PRPO!$F:$F,0)))</f>
        <v/>
      </c>
      <c r="C31" s="4">
        <f>IF(A31="","",INDEX(PRPO!$G:$G,MATCH(A31,PRPO!$F:$F,0)))</f>
        <v/>
      </c>
      <c r="D31" s="4">
        <f>IF(A31="","",INDEX(PRPO!$C:$C,MATCH(A31,PRPO!$F:$F,0)))</f>
        <v/>
      </c>
      <c r="E31" s="4">
        <f>IF(A31="","",IFERROR(INDEX(IQC!$C:$C,MATCH(A31,IQC!$A:$A,0)),0))</f>
        <v/>
      </c>
      <c r="F31" s="4">
        <f>IF(OR(A31="",D31="",C31=""),"",D31*C31)</f>
        <v/>
      </c>
      <c r="G31" s="3" t="n"/>
      <c r="H31" s="4">
        <f>IF(OR(G31="",F31=""),"",G31-F31)</f>
        <v/>
      </c>
      <c r="I31" s="8" t="n">
        <v>0.01</v>
      </c>
      <c r="J31" s="9">
        <f>IF(OR(G31="",F31=""),"",IF(ABS(H31)&lt;=I31,"通过","异常"))</f>
        <v/>
      </c>
      <c r="K31" s="3" t="n"/>
    </row>
    <row r="32">
      <c r="A32" s="7" t="n"/>
      <c r="B32" s="4">
        <f>IF(A32="","",INDEX(PRPO!$H:$H,MATCH(A32,PRPO!$F:$F,0)))</f>
        <v/>
      </c>
      <c r="C32" s="4">
        <f>IF(A32="","",INDEX(PRPO!$G:$G,MATCH(A32,PRPO!$F:$F,0)))</f>
        <v/>
      </c>
      <c r="D32" s="4">
        <f>IF(A32="","",INDEX(PRPO!$C:$C,MATCH(A32,PRPO!$F:$F,0)))</f>
        <v/>
      </c>
      <c r="E32" s="4">
        <f>IF(A32="","",IFERROR(INDEX(IQC!$C:$C,MATCH(A32,IQC!$A:$A,0)),0))</f>
        <v/>
      </c>
      <c r="F32" s="4">
        <f>IF(OR(A32="",D32="",C32=""),"",D32*C32)</f>
        <v/>
      </c>
      <c r="G32" s="3" t="n"/>
      <c r="H32" s="4">
        <f>IF(OR(G32="",F32=""),"",G32-F32)</f>
        <v/>
      </c>
      <c r="I32" s="8" t="n">
        <v>0.01</v>
      </c>
      <c r="J32" s="9">
        <f>IF(OR(G32="",F32=""),"",IF(ABS(H32)&lt;=I32,"通过","异常"))</f>
        <v/>
      </c>
      <c r="K32" s="3" t="n"/>
    </row>
    <row r="33">
      <c r="A33" s="7" t="n"/>
      <c r="B33" s="4">
        <f>IF(A33="","",INDEX(PRPO!$H:$H,MATCH(A33,PRPO!$F:$F,0)))</f>
        <v/>
      </c>
      <c r="C33" s="4">
        <f>IF(A33="","",INDEX(PRPO!$G:$G,MATCH(A33,PRPO!$F:$F,0)))</f>
        <v/>
      </c>
      <c r="D33" s="4">
        <f>IF(A33="","",INDEX(PRPO!$C:$C,MATCH(A33,PRPO!$F:$F,0)))</f>
        <v/>
      </c>
      <c r="E33" s="4">
        <f>IF(A33="","",IFERROR(INDEX(IQC!$C:$C,MATCH(A33,IQC!$A:$A,0)),0))</f>
        <v/>
      </c>
      <c r="F33" s="4">
        <f>IF(OR(A33="",D33="",C33=""),"",D33*C33)</f>
        <v/>
      </c>
      <c r="G33" s="3" t="n"/>
      <c r="H33" s="4">
        <f>IF(OR(G33="",F33=""),"",G33-F33)</f>
        <v/>
      </c>
      <c r="I33" s="8" t="n">
        <v>0.01</v>
      </c>
      <c r="J33" s="9">
        <f>IF(OR(G33="",F33=""),"",IF(ABS(H33)&lt;=I33,"通过","异常"))</f>
        <v/>
      </c>
      <c r="K33" s="3" t="n"/>
    </row>
    <row r="34">
      <c r="A34" s="7" t="n"/>
      <c r="B34" s="4">
        <f>IF(A34="","",INDEX(PRPO!$H:$H,MATCH(A34,PRPO!$F:$F,0)))</f>
        <v/>
      </c>
      <c r="C34" s="4">
        <f>IF(A34="","",INDEX(PRPO!$G:$G,MATCH(A34,PRPO!$F:$F,0)))</f>
        <v/>
      </c>
      <c r="D34" s="4">
        <f>IF(A34="","",INDEX(PRPO!$C:$C,MATCH(A34,PRPO!$F:$F,0)))</f>
        <v/>
      </c>
      <c r="E34" s="4">
        <f>IF(A34="","",IFERROR(INDEX(IQC!$C:$C,MATCH(A34,IQC!$A:$A,0)),0))</f>
        <v/>
      </c>
      <c r="F34" s="4">
        <f>IF(OR(A34="",D34="",C34=""),"",D34*C34)</f>
        <v/>
      </c>
      <c r="G34" s="3" t="n"/>
      <c r="H34" s="4">
        <f>IF(OR(G34="",F34=""),"",G34-F34)</f>
        <v/>
      </c>
      <c r="I34" s="8" t="n">
        <v>0.01</v>
      </c>
      <c r="J34" s="9">
        <f>IF(OR(G34="",F34=""),"",IF(ABS(H34)&lt;=I34,"通过","异常"))</f>
        <v/>
      </c>
      <c r="K34" s="3" t="n"/>
    </row>
    <row r="35">
      <c r="A35" s="7" t="n"/>
      <c r="B35" s="4">
        <f>IF(A35="","",INDEX(PRPO!$H:$H,MATCH(A35,PRPO!$F:$F,0)))</f>
        <v/>
      </c>
      <c r="C35" s="4">
        <f>IF(A35="","",INDEX(PRPO!$G:$G,MATCH(A35,PRPO!$F:$F,0)))</f>
        <v/>
      </c>
      <c r="D35" s="4">
        <f>IF(A35="","",INDEX(PRPO!$C:$C,MATCH(A35,PRPO!$F:$F,0)))</f>
        <v/>
      </c>
      <c r="E35" s="4">
        <f>IF(A35="","",IFERROR(INDEX(IQC!$C:$C,MATCH(A35,IQC!$A:$A,0)),0))</f>
        <v/>
      </c>
      <c r="F35" s="4">
        <f>IF(OR(A35="",D35="",C35=""),"",D35*C35)</f>
        <v/>
      </c>
      <c r="G35" s="3" t="n"/>
      <c r="H35" s="4">
        <f>IF(OR(G35="",F35=""),"",G35-F35)</f>
        <v/>
      </c>
      <c r="I35" s="8" t="n">
        <v>0.01</v>
      </c>
      <c r="J35" s="9">
        <f>IF(OR(G35="",F35=""),"",IF(ABS(H35)&lt;=I35,"通过","异常"))</f>
        <v/>
      </c>
      <c r="K35" s="3" t="n"/>
    </row>
    <row r="36">
      <c r="A36" s="7" t="n"/>
      <c r="B36" s="4">
        <f>IF(A36="","",INDEX(PRPO!$H:$H,MATCH(A36,PRPO!$F:$F,0)))</f>
        <v/>
      </c>
      <c r="C36" s="4">
        <f>IF(A36="","",INDEX(PRPO!$G:$G,MATCH(A36,PRPO!$F:$F,0)))</f>
        <v/>
      </c>
      <c r="D36" s="4">
        <f>IF(A36="","",INDEX(PRPO!$C:$C,MATCH(A36,PRPO!$F:$F,0)))</f>
        <v/>
      </c>
      <c r="E36" s="4">
        <f>IF(A36="","",IFERROR(INDEX(IQC!$C:$C,MATCH(A36,IQC!$A:$A,0)),0))</f>
        <v/>
      </c>
      <c r="F36" s="4">
        <f>IF(OR(A36="",D36="",C36=""),"",D36*C36)</f>
        <v/>
      </c>
      <c r="G36" s="3" t="n"/>
      <c r="H36" s="4">
        <f>IF(OR(G36="",F36=""),"",G36-F36)</f>
        <v/>
      </c>
      <c r="I36" s="8" t="n">
        <v>0.01</v>
      </c>
      <c r="J36" s="9">
        <f>IF(OR(G36="",F36=""),"",IF(ABS(H36)&lt;=I36,"通过","异常"))</f>
        <v/>
      </c>
      <c r="K36" s="3" t="n"/>
    </row>
    <row r="37">
      <c r="A37" s="7" t="n"/>
      <c r="B37" s="4">
        <f>IF(A37="","",INDEX(PRPO!$H:$H,MATCH(A37,PRPO!$F:$F,0)))</f>
        <v/>
      </c>
      <c r="C37" s="4">
        <f>IF(A37="","",INDEX(PRPO!$G:$G,MATCH(A37,PRPO!$F:$F,0)))</f>
        <v/>
      </c>
      <c r="D37" s="4">
        <f>IF(A37="","",INDEX(PRPO!$C:$C,MATCH(A37,PRPO!$F:$F,0)))</f>
        <v/>
      </c>
      <c r="E37" s="4">
        <f>IF(A37="","",IFERROR(INDEX(IQC!$C:$C,MATCH(A37,IQC!$A:$A,0)),0))</f>
        <v/>
      </c>
      <c r="F37" s="4">
        <f>IF(OR(A37="",D37="",C37=""),"",D37*C37)</f>
        <v/>
      </c>
      <c r="G37" s="3" t="n"/>
      <c r="H37" s="4">
        <f>IF(OR(G37="",F37=""),"",G37-F37)</f>
        <v/>
      </c>
      <c r="I37" s="8" t="n">
        <v>0.01</v>
      </c>
      <c r="J37" s="9">
        <f>IF(OR(G37="",F37=""),"",IF(ABS(H37)&lt;=I37,"通过","异常"))</f>
        <v/>
      </c>
      <c r="K37" s="3" t="n"/>
    </row>
    <row r="38">
      <c r="A38" s="7" t="n"/>
      <c r="B38" s="4">
        <f>IF(A38="","",INDEX(PRPO!$H:$H,MATCH(A38,PRPO!$F:$F,0)))</f>
        <v/>
      </c>
      <c r="C38" s="4">
        <f>IF(A38="","",INDEX(PRPO!$G:$G,MATCH(A38,PRPO!$F:$F,0)))</f>
        <v/>
      </c>
      <c r="D38" s="4">
        <f>IF(A38="","",INDEX(PRPO!$C:$C,MATCH(A38,PRPO!$F:$F,0)))</f>
        <v/>
      </c>
      <c r="E38" s="4">
        <f>IF(A38="","",IFERROR(INDEX(IQC!$C:$C,MATCH(A38,IQC!$A:$A,0)),0))</f>
        <v/>
      </c>
      <c r="F38" s="4">
        <f>IF(OR(A38="",D38="",C38=""),"",D38*C38)</f>
        <v/>
      </c>
      <c r="G38" s="3" t="n"/>
      <c r="H38" s="4">
        <f>IF(OR(G38="",F38=""),"",G38-F38)</f>
        <v/>
      </c>
      <c r="I38" s="8" t="n">
        <v>0.01</v>
      </c>
      <c r="J38" s="9">
        <f>IF(OR(G38="",F38=""),"",IF(ABS(H38)&lt;=I38,"通过","异常"))</f>
        <v/>
      </c>
      <c r="K38" s="3" t="n"/>
    </row>
    <row r="39">
      <c r="A39" s="7" t="n"/>
      <c r="B39" s="4">
        <f>IF(A39="","",INDEX(PRPO!$H:$H,MATCH(A39,PRPO!$F:$F,0)))</f>
        <v/>
      </c>
      <c r="C39" s="4">
        <f>IF(A39="","",INDEX(PRPO!$G:$G,MATCH(A39,PRPO!$F:$F,0)))</f>
        <v/>
      </c>
      <c r="D39" s="4">
        <f>IF(A39="","",INDEX(PRPO!$C:$C,MATCH(A39,PRPO!$F:$F,0)))</f>
        <v/>
      </c>
      <c r="E39" s="4">
        <f>IF(A39="","",IFERROR(INDEX(IQC!$C:$C,MATCH(A39,IQC!$A:$A,0)),0))</f>
        <v/>
      </c>
      <c r="F39" s="4">
        <f>IF(OR(A39="",D39="",C39=""),"",D39*C39)</f>
        <v/>
      </c>
      <c r="G39" s="3" t="n"/>
      <c r="H39" s="4">
        <f>IF(OR(G39="",F39=""),"",G39-F39)</f>
        <v/>
      </c>
      <c r="I39" s="8" t="n">
        <v>0.01</v>
      </c>
      <c r="J39" s="9">
        <f>IF(OR(G39="",F39=""),"",IF(ABS(H39)&lt;=I39,"通过","异常"))</f>
        <v/>
      </c>
      <c r="K39" s="3" t="n"/>
    </row>
    <row r="40">
      <c r="A40" s="7" t="n"/>
      <c r="B40" s="4">
        <f>IF(A40="","",INDEX(PRPO!$H:$H,MATCH(A40,PRPO!$F:$F,0)))</f>
        <v/>
      </c>
      <c r="C40" s="4">
        <f>IF(A40="","",INDEX(PRPO!$G:$G,MATCH(A40,PRPO!$F:$F,0)))</f>
        <v/>
      </c>
      <c r="D40" s="4">
        <f>IF(A40="","",INDEX(PRPO!$C:$C,MATCH(A40,PRPO!$F:$F,0)))</f>
        <v/>
      </c>
      <c r="E40" s="4">
        <f>IF(A40="","",IFERROR(INDEX(IQC!$C:$C,MATCH(A40,IQC!$A:$A,0)),0))</f>
        <v/>
      </c>
      <c r="F40" s="4">
        <f>IF(OR(A40="",D40="",C40=""),"",D40*C40)</f>
        <v/>
      </c>
      <c r="G40" s="3" t="n"/>
      <c r="H40" s="4">
        <f>IF(OR(G40="",F40=""),"",G40-F40)</f>
        <v/>
      </c>
      <c r="I40" s="8" t="n">
        <v>0.01</v>
      </c>
      <c r="J40" s="9">
        <f>IF(OR(G40="",F40=""),"",IF(ABS(H40)&lt;=I40,"通过","异常"))</f>
        <v/>
      </c>
      <c r="K40" s="3" t="n"/>
    </row>
    <row r="41">
      <c r="A41" s="7" t="n"/>
      <c r="B41" s="4">
        <f>IF(A41="","",INDEX(PRPO!$H:$H,MATCH(A41,PRPO!$F:$F,0)))</f>
        <v/>
      </c>
      <c r="C41" s="4">
        <f>IF(A41="","",INDEX(PRPO!$G:$G,MATCH(A41,PRPO!$F:$F,0)))</f>
        <v/>
      </c>
      <c r="D41" s="4">
        <f>IF(A41="","",INDEX(PRPO!$C:$C,MATCH(A41,PRPO!$F:$F,0)))</f>
        <v/>
      </c>
      <c r="E41" s="4">
        <f>IF(A41="","",IFERROR(INDEX(IQC!$C:$C,MATCH(A41,IQC!$A:$A,0)),0))</f>
        <v/>
      </c>
      <c r="F41" s="4">
        <f>IF(OR(A41="",D41="",C41=""),"",D41*C41)</f>
        <v/>
      </c>
      <c r="G41" s="3" t="n"/>
      <c r="H41" s="4">
        <f>IF(OR(G41="",F41=""),"",G41-F41)</f>
        <v/>
      </c>
      <c r="I41" s="8" t="n">
        <v>0.01</v>
      </c>
      <c r="J41" s="9">
        <f>IF(OR(G41="",F41=""),"",IF(ABS(H41)&lt;=I41,"通过","异常"))</f>
        <v/>
      </c>
      <c r="K41" s="3" t="n"/>
    </row>
    <row r="42">
      <c r="A42" s="7" t="n"/>
      <c r="B42" s="4">
        <f>IF(A42="","",INDEX(PRPO!$H:$H,MATCH(A42,PRPO!$F:$F,0)))</f>
        <v/>
      </c>
      <c r="C42" s="4">
        <f>IF(A42="","",INDEX(PRPO!$G:$G,MATCH(A42,PRPO!$F:$F,0)))</f>
        <v/>
      </c>
      <c r="D42" s="4">
        <f>IF(A42="","",INDEX(PRPO!$C:$C,MATCH(A42,PRPO!$F:$F,0)))</f>
        <v/>
      </c>
      <c r="E42" s="4">
        <f>IF(A42="","",IFERROR(INDEX(IQC!$C:$C,MATCH(A42,IQC!$A:$A,0)),0))</f>
        <v/>
      </c>
      <c r="F42" s="4">
        <f>IF(OR(A42="",D42="",C42=""),"",D42*C42)</f>
        <v/>
      </c>
      <c r="G42" s="3" t="n"/>
      <c r="H42" s="4">
        <f>IF(OR(G42="",F42=""),"",G42-F42)</f>
        <v/>
      </c>
      <c r="I42" s="8" t="n">
        <v>0.01</v>
      </c>
      <c r="J42" s="9">
        <f>IF(OR(G42="",F42=""),"",IF(ABS(H42)&lt;=I42,"通过","异常"))</f>
        <v/>
      </c>
      <c r="K42" s="3" t="n"/>
    </row>
    <row r="43">
      <c r="A43" s="7" t="n"/>
      <c r="B43" s="4">
        <f>IF(A43="","",INDEX(PRPO!$H:$H,MATCH(A43,PRPO!$F:$F,0)))</f>
        <v/>
      </c>
      <c r="C43" s="4">
        <f>IF(A43="","",INDEX(PRPO!$G:$G,MATCH(A43,PRPO!$F:$F,0)))</f>
        <v/>
      </c>
      <c r="D43" s="4">
        <f>IF(A43="","",INDEX(PRPO!$C:$C,MATCH(A43,PRPO!$F:$F,0)))</f>
        <v/>
      </c>
      <c r="E43" s="4">
        <f>IF(A43="","",IFERROR(INDEX(IQC!$C:$C,MATCH(A43,IQC!$A:$A,0)),0))</f>
        <v/>
      </c>
      <c r="F43" s="4">
        <f>IF(OR(A43="",D43="",C43=""),"",D43*C43)</f>
        <v/>
      </c>
      <c r="G43" s="3" t="n"/>
      <c r="H43" s="4">
        <f>IF(OR(G43="",F43=""),"",G43-F43)</f>
        <v/>
      </c>
      <c r="I43" s="8" t="n">
        <v>0.01</v>
      </c>
      <c r="J43" s="9">
        <f>IF(OR(G43="",F43=""),"",IF(ABS(H43)&lt;=I43,"通过","异常"))</f>
        <v/>
      </c>
      <c r="K43" s="3" t="n"/>
    </row>
  </sheetData>
  <conditionalFormatting sqref="J4:J43">
    <cfRule type="cellIs" priority="1" operator="equal" dxfId="0">
      <formula>"异常"</formula>
    </cfRule>
    <cfRule type="cellIs" priority="2" operator="equal" dxfId="1">
      <formula>"通过"</formula>
    </cfRule>
  </conditionalFormatting>
  <dataValidations count="1">
    <dataValidation sqref="K4:K43" showDropDown="0" showInputMessage="0" showErrorMessage="0" allowBlank="1" type="list">
      <formula1>"未付,已付,挂起"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2026-09-19T13:57:50Z</dcterms:created>
  <dcterms:modified xsi:type="dcterms:W3CDTF">2026-09-19T13:57:50Z</dcterms:modified>
</cp:coreProperties>
</file>