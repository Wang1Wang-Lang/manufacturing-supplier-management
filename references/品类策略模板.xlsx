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ljic矩阵" sheetId="1" state="visible" r:id="rId1"/>
    <sheet name="品类策略表" sheetId="2" state="visible" r:id="rId2"/>
    <sheet name="支出分析AB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0"/>
    </font>
    <font>
      <b val="1"/>
      <color rgb="00FFFFFF"/>
      <sz val="10"/>
    </font>
    <font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b val="1"/>
        <color rgb="00FFFFFF"/>
        <sz val="10"/>
      </font>
      <fill>
        <patternFill patternType="solid">
          <fgColor rgb="00C00000"/>
        </patternFill>
      </fill>
    </dxf>
    <dxf>
      <font>
        <b val="1"/>
        <color rgb="00FFFFFF"/>
        <sz val="10"/>
      </font>
      <fill>
        <patternFill patternType="solid">
          <fgColor rgb="002E75B6"/>
        </patternFill>
      </fill>
    </dxf>
    <dxf>
      <font>
        <b val="1"/>
        <color rgb="00FFFFFF"/>
        <sz val="10"/>
      </font>
      <fill>
        <patternFill patternType="solid">
          <fgColor rgb="007030A0"/>
        </patternFill>
      </fill>
    </dxf>
    <dxf>
      <font>
        <b val="1"/>
        <color rgb="00FFFFFF"/>
        <sz val="10"/>
      </font>
      <fill>
        <patternFill patternType="solid">
          <fgColor rgb="00548235"/>
        </patternFill>
      </fill>
    </dxf>
    <dxf>
      <font>
        <sz val="10"/>
      </font>
      <fill>
        <patternFill patternType="solid">
          <fgColor rgb="00FFC000"/>
        </patternFill>
      </fill>
    </dxf>
    <dxf>
      <font>
        <b val="1"/>
        <color rgb="00FFFFFF"/>
        <sz val="10"/>
      </font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 ht="26" customHeight="1">
      <c r="A1" s="1" t="inlineStr">
        <is>
          <t>Kraljic 品类定位矩阵（制造业采购战略分类）</t>
        </is>
      </c>
    </row>
    <row r="2">
      <c r="B2" s="2" t="inlineStr">
        <is>
          <t>金额阈值(万元, 用于自动判定金额档):</t>
        </is>
      </c>
      <c r="C2" s="3" t="n">
        <v>500</v>
      </c>
      <c r="D2" t="inlineStr">
        <is>
          <t>金额档=年采购额≥阈值→高, 否则低</t>
        </is>
      </c>
    </row>
    <row r="4" ht="78" customHeight="1">
      <c r="B4" s="4" t="inlineStr">
        <is>
          <t>瓶颈型 Bottleneck
供应风险高 · 采购金额低
策略：多源/替代料开发、安全库存、供应商扶持、长期保供协议</t>
        </is>
      </c>
      <c r="C4" s="5" t="inlineStr">
        <is>
          <t>战略型 Strategic
采购金额高 · 供应风险高
策略：战略伙伴、联合开发VAVE、双源备份、高层定期回顾</t>
        </is>
      </c>
    </row>
    <row r="5" ht="78" customHeight="1">
      <c r="B5" s="6" t="inlineStr">
        <is>
          <t>非关键型 Non-critical
采购金额低 · 供应风险低
策略：流程简化、系统电商化、缩减供应商、按需采购</t>
        </is>
      </c>
      <c r="C5" s="7" t="inlineStr">
        <is>
          <t>杠杆型 Leverage
采购金额高 · 供应风险低
策略：集中采购招标压价、标准化、年降目标、合同锁价</t>
        </is>
      </c>
    </row>
    <row r="7">
      <c r="A7" s="8" t="inlineStr">
        <is>
          <t>X轴：采购金额（左低 → 右高）　Y轴：供应风险（下低 → 上高）。下表填入品类即可自动定位与给策略。</t>
        </is>
      </c>
    </row>
    <row r="8" ht="30" customHeight="1">
      <c r="A8" s="9" t="inlineStr">
        <is>
          <t>品类</t>
        </is>
      </c>
      <c r="B8" s="9" t="inlineStr">
        <is>
          <t>年采购金额(万元)</t>
        </is>
      </c>
      <c r="C8" s="9" t="inlineStr">
        <is>
          <t>金额档(自动)</t>
        </is>
      </c>
      <c r="D8" s="9" t="inlineStr">
        <is>
          <t>供应风险(高/低)</t>
        </is>
      </c>
      <c r="E8" s="9" t="inlineStr">
        <is>
          <t>Kraljic定位(自动)</t>
        </is>
      </c>
      <c r="F8" s="9" t="inlineStr">
        <is>
          <t>推荐策略(自动)</t>
        </is>
      </c>
    </row>
    <row r="9">
      <c r="A9" s="10" t="inlineStr">
        <is>
          <t>精密传动轴承</t>
        </is>
      </c>
      <c r="B9" s="10" t="n">
        <v>1200</v>
      </c>
      <c r="C9" s="11">
        <f>IF(B9&gt;=$C$2,"高","低")</f>
        <v/>
      </c>
      <c r="D9" s="12" t="inlineStr">
        <is>
          <t>高</t>
        </is>
      </c>
      <c r="E9" s="11">
        <f>IF(D9="高",IF(C9="高","战略型",IF(C9="低","瓶颈型","")),IF(C9="高","杠杆型",IF(C9="低","非关键型","")))</f>
        <v/>
      </c>
      <c r="F9" s="13">
        <f>IF(E9="战略型","建立战略伙伴/联合开发VAVE/双源备份/高层定期回顾",IF(E9="杠杆型","集中采购招标压价/标准化/年降目标/合同锁价",IF(E9="瓶颈型","多源替代料开发/安全库存/供应商扶持/长期保供",IF(E9="非关键型","流程简化/系统电商化/缩减供应商/按需采购",""))))</f>
        <v/>
      </c>
    </row>
    <row r="10">
      <c r="A10" s="10" t="inlineStr">
        <is>
          <t>标准紧固件</t>
        </is>
      </c>
      <c r="B10" s="10" t="n">
        <v>80</v>
      </c>
      <c r="C10" s="11">
        <f>IF(B10&gt;=$C$2,"高","低")</f>
        <v/>
      </c>
      <c r="D10" s="12" t="inlineStr">
        <is>
          <t>低</t>
        </is>
      </c>
      <c r="E10" s="11">
        <f>IF(D10="高",IF(C10="高","战略型",IF(C10="低","瓶颈型","")),IF(C10="高","杠杆型",IF(C10="低","非关键型","")))</f>
        <v/>
      </c>
      <c r="F10" s="13">
        <f>IF(E10="战略型","建立战略伙伴/联合开发VAVE/双源备份/高层定期回顾",IF(E10="杠杆型","集中采购招标压价/标准化/年降目标/合同锁价",IF(E10="瓶颈型","多源替代料开发/安全库存/供应商扶持/长期保供",IF(E10="非关键型","流程简化/系统电商化/缩减供应商/按需采购",""))))</f>
        <v/>
      </c>
    </row>
    <row r="11">
      <c r="A11" s="14" t="n"/>
      <c r="B11" s="14" t="n"/>
      <c r="C11" s="11">
        <f>IF(B11&gt;=$C$2,"高","低")</f>
        <v/>
      </c>
      <c r="D11" s="11" t="n"/>
      <c r="E11" s="11">
        <f>IF(D11="高",IF(C11="高","战略型",IF(C11="低","瓶颈型","")),IF(C11="高","杠杆型",IF(C11="低","非关键型","")))</f>
        <v/>
      </c>
      <c r="F11" s="13">
        <f>IF(E11="战略型","建立战略伙伴/联合开发VAVE/双源备份/高层定期回顾",IF(E11="杠杆型","集中采购招标压价/标准化/年降目标/合同锁价",IF(E11="瓶颈型","多源替代料开发/安全库存/供应商扶持/长期保供",IF(E11="非关键型","流程简化/系统电商化/缩减供应商/按需采购",""))))</f>
        <v/>
      </c>
    </row>
    <row r="12">
      <c r="A12" s="14" t="n"/>
      <c r="B12" s="14" t="n"/>
      <c r="C12" s="11">
        <f>IF(B12&gt;=$C$2,"高","低")</f>
        <v/>
      </c>
      <c r="D12" s="11" t="n"/>
      <c r="E12" s="11">
        <f>IF(D12="高",IF(C12="高","战略型",IF(C12="低","瓶颈型","")),IF(C12="高","杠杆型",IF(C12="低","非关键型","")))</f>
        <v/>
      </c>
      <c r="F12" s="13">
        <f>IF(E12="战略型","建立战略伙伴/联合开发VAVE/双源备份/高层定期回顾",IF(E12="杠杆型","集中采购招标压价/标准化/年降目标/合同锁价",IF(E12="瓶颈型","多源替代料开发/安全库存/供应商扶持/长期保供",IF(E12="非关键型","流程简化/系统电商化/缩减供应商/按需采购",""))))</f>
        <v/>
      </c>
    </row>
    <row r="13">
      <c r="A13" s="14" t="n"/>
      <c r="B13" s="14" t="n"/>
      <c r="C13" s="11">
        <f>IF(B13&gt;=$C$2,"高","低")</f>
        <v/>
      </c>
      <c r="D13" s="11" t="n"/>
      <c r="E13" s="11">
        <f>IF(D13="高",IF(C13="高","战略型",IF(C13="低","瓶颈型","")),IF(C13="高","杠杆型",IF(C13="低","非关键型","")))</f>
        <v/>
      </c>
      <c r="F13" s="13">
        <f>IF(E13="战略型","建立战略伙伴/联合开发VAVE/双源备份/高层定期回顾",IF(E13="杠杆型","集中采购招标压价/标准化/年降目标/合同锁价",IF(E13="瓶颈型","多源替代料开发/安全库存/供应商扶持/长期保供",IF(E13="非关键型","流程简化/系统电商化/缩减供应商/按需采购",""))))</f>
        <v/>
      </c>
    </row>
    <row r="14">
      <c r="A14" s="14" t="n"/>
      <c r="B14" s="14" t="n"/>
      <c r="C14" s="11">
        <f>IF(B14&gt;=$C$2,"高","低")</f>
        <v/>
      </c>
      <c r="D14" s="11" t="n"/>
      <c r="E14" s="11">
        <f>IF(D14="高",IF(C14="高","战略型",IF(C14="低","瓶颈型","")),IF(C14="高","杠杆型",IF(C14="低","非关键型","")))</f>
        <v/>
      </c>
      <c r="F14" s="13">
        <f>IF(E14="战略型","建立战略伙伴/联合开发VAVE/双源备份/高层定期回顾",IF(E14="杠杆型","集中采购招标压价/标准化/年降目标/合同锁价",IF(E14="瓶颈型","多源替代料开发/安全库存/供应商扶持/长期保供",IF(E14="非关键型","流程简化/系统电商化/缩减供应商/按需采购",""))))</f>
        <v/>
      </c>
    </row>
    <row r="15">
      <c r="A15" s="14" t="n"/>
      <c r="B15" s="14" t="n"/>
      <c r="C15" s="11">
        <f>IF(B15&gt;=$C$2,"高","低")</f>
        <v/>
      </c>
      <c r="D15" s="11" t="n"/>
      <c r="E15" s="11">
        <f>IF(D15="高",IF(C15="高","战略型",IF(C15="低","瓶颈型","")),IF(C15="高","杠杆型",IF(C15="低","非关键型","")))</f>
        <v/>
      </c>
      <c r="F15" s="13">
        <f>IF(E15="战略型","建立战略伙伴/联合开发VAVE/双源备份/高层定期回顾",IF(E15="杠杆型","集中采购招标压价/标准化/年降目标/合同锁价",IF(E15="瓶颈型","多源替代料开发/安全库存/供应商扶持/长期保供",IF(E15="非关键型","流程简化/系统电商化/缩减供应商/按需采购",""))))</f>
        <v/>
      </c>
    </row>
    <row r="16">
      <c r="A16" s="14" t="n"/>
      <c r="B16" s="14" t="n"/>
      <c r="C16" s="11">
        <f>IF(B16&gt;=$C$2,"高","低")</f>
        <v/>
      </c>
      <c r="D16" s="11" t="n"/>
      <c r="E16" s="11">
        <f>IF(D16="高",IF(C16="高","战略型",IF(C16="低","瓶颈型","")),IF(C16="高","杠杆型",IF(C16="低","非关键型","")))</f>
        <v/>
      </c>
      <c r="F16" s="13">
        <f>IF(E16="战略型","建立战略伙伴/联合开发VAVE/双源备份/高层定期回顾",IF(E16="杠杆型","集中采购招标压价/标准化/年降目标/合同锁价",IF(E16="瓶颈型","多源替代料开发/安全库存/供应商扶持/长期保供",IF(E16="非关键型","流程简化/系统电商化/缩减供应商/按需采购",""))))</f>
        <v/>
      </c>
    </row>
    <row r="17">
      <c r="A17" s="14" t="n"/>
      <c r="B17" s="14" t="n"/>
      <c r="C17" s="11">
        <f>IF(B17&gt;=$C$2,"高","低")</f>
        <v/>
      </c>
      <c r="D17" s="11" t="n"/>
      <c r="E17" s="11">
        <f>IF(D17="高",IF(C17="高","战略型",IF(C17="低","瓶颈型","")),IF(C17="高","杠杆型",IF(C17="低","非关键型","")))</f>
        <v/>
      </c>
      <c r="F17" s="13">
        <f>IF(E17="战略型","建立战略伙伴/联合开发VAVE/双源备份/高层定期回顾",IF(E17="杠杆型","集中采购招标压价/标准化/年降目标/合同锁价",IF(E17="瓶颈型","多源替代料开发/安全库存/供应商扶持/长期保供",IF(E17="非关键型","流程简化/系统电商化/缩减供应商/按需采购",""))))</f>
        <v/>
      </c>
    </row>
    <row r="18">
      <c r="A18" s="14" t="n"/>
      <c r="B18" s="14" t="n"/>
      <c r="C18" s="11">
        <f>IF(B18&gt;=$C$2,"高","低")</f>
        <v/>
      </c>
      <c r="D18" s="11" t="n"/>
      <c r="E18" s="11">
        <f>IF(D18="高",IF(C18="高","战略型",IF(C18="低","瓶颈型","")),IF(C18="高","杠杆型",IF(C18="低","非关键型","")))</f>
        <v/>
      </c>
      <c r="F18" s="13">
        <f>IF(E18="战略型","建立战略伙伴/联合开发VAVE/双源备份/高层定期回顾",IF(E18="杠杆型","集中采购招标压价/标准化/年降目标/合同锁价",IF(E18="瓶颈型","多源替代料开发/安全库存/供应商扶持/长期保供",IF(E18="非关键型","流程简化/系统电商化/缩减供应商/按需采购",""))))</f>
        <v/>
      </c>
    </row>
    <row r="19">
      <c r="A19" s="14" t="n"/>
      <c r="B19" s="14" t="n"/>
      <c r="C19" s="11">
        <f>IF(B19&gt;=$C$2,"高","低")</f>
        <v/>
      </c>
      <c r="D19" s="11" t="n"/>
      <c r="E19" s="11">
        <f>IF(D19="高",IF(C19="高","战略型",IF(C19="低","瓶颈型","")),IF(C19="高","杠杆型",IF(C19="低","非关键型","")))</f>
        <v/>
      </c>
      <c r="F19" s="13">
        <f>IF(E19="战略型","建立战略伙伴/联合开发VAVE/双源备份/高层定期回顾",IF(E19="杠杆型","集中采购招标压价/标准化/年降目标/合同锁价",IF(E19="瓶颈型","多源替代料开发/安全库存/供应商扶持/长期保供",IF(E19="非关键型","流程简化/系统电商化/缩减供应商/按需采购",""))))</f>
        <v/>
      </c>
    </row>
    <row r="20">
      <c r="A20" s="14" t="n"/>
      <c r="B20" s="14" t="n"/>
      <c r="C20" s="11">
        <f>IF(B20&gt;=$C$2,"高","低")</f>
        <v/>
      </c>
      <c r="D20" s="11" t="n"/>
      <c r="E20" s="11">
        <f>IF(D20="高",IF(C20="高","战略型",IF(C20="低","瓶颈型","")),IF(C20="高","杠杆型",IF(C20="低","非关键型","")))</f>
        <v/>
      </c>
      <c r="F20" s="13">
        <f>IF(E20="战略型","建立战略伙伴/联合开发VAVE/双源备份/高层定期回顾",IF(E20="杠杆型","集中采购招标压价/标准化/年降目标/合同锁价",IF(E20="瓶颈型","多源替代料开发/安全库存/供应商扶持/长期保供",IF(E20="非关键型","流程简化/系统电商化/缩减供应商/按需采购",""))))</f>
        <v/>
      </c>
    </row>
    <row r="21">
      <c r="A21" s="14" t="n"/>
      <c r="B21" s="14" t="n"/>
      <c r="C21" s="11">
        <f>IF(B21&gt;=$C$2,"高","低")</f>
        <v/>
      </c>
      <c r="D21" s="11" t="n"/>
      <c r="E21" s="11">
        <f>IF(D21="高",IF(C21="高","战略型",IF(C21="低","瓶颈型","")),IF(C21="高","杠杆型",IF(C21="低","非关键型","")))</f>
        <v/>
      </c>
      <c r="F21" s="13">
        <f>IF(E21="战略型","建立战略伙伴/联合开发VAVE/双源备份/高层定期回顾",IF(E21="杠杆型","集中采购招标压价/标准化/年降目标/合同锁价",IF(E21="瓶颈型","多源替代料开发/安全库存/供应商扶持/长期保供",IF(E21="非关键型","流程简化/系统电商化/缩减供应商/按需采购",""))))</f>
        <v/>
      </c>
    </row>
    <row r="22">
      <c r="A22" s="14" t="n"/>
      <c r="B22" s="14" t="n"/>
      <c r="C22" s="11">
        <f>IF(B22&gt;=$C$2,"高","低")</f>
        <v/>
      </c>
      <c r="D22" s="11" t="n"/>
      <c r="E22" s="11">
        <f>IF(D22="高",IF(C22="高","战略型",IF(C22="低","瓶颈型","")),IF(C22="高","杠杆型",IF(C22="低","非关键型","")))</f>
        <v/>
      </c>
      <c r="F22" s="13">
        <f>IF(E22="战略型","建立战略伙伴/联合开发VAVE/双源备份/高层定期回顾",IF(E22="杠杆型","集中采购招标压价/标准化/年降目标/合同锁价",IF(E22="瓶颈型","多源替代料开发/安全库存/供应商扶持/长期保供",IF(E22="非关键型","流程简化/系统电商化/缩减供应商/按需采购",""))))</f>
        <v/>
      </c>
    </row>
    <row r="23">
      <c r="A23" s="14" t="n"/>
      <c r="B23" s="14" t="n"/>
      <c r="C23" s="11">
        <f>IF(B23&gt;=$C$2,"高","低")</f>
        <v/>
      </c>
      <c r="D23" s="11" t="n"/>
      <c r="E23" s="11">
        <f>IF(D23="高",IF(C23="高","战略型",IF(C23="低","瓶颈型","")),IF(C23="高","杠杆型",IF(C23="低","非关键型","")))</f>
        <v/>
      </c>
      <c r="F23" s="13">
        <f>IF(E23="战略型","建立战略伙伴/联合开发VAVE/双源备份/高层定期回顾",IF(E23="杠杆型","集中采购招标压价/标准化/年降目标/合同锁价",IF(E23="瓶颈型","多源替代料开发/安全库存/供应商扶持/长期保供",IF(E23="非关键型","流程简化/系统电商化/缩减供应商/按需采购",""))))</f>
        <v/>
      </c>
    </row>
    <row r="24">
      <c r="A24" s="14" t="n"/>
      <c r="B24" s="14" t="n"/>
      <c r="C24" s="11">
        <f>IF(B24&gt;=$C$2,"高","低")</f>
        <v/>
      </c>
      <c r="D24" s="11" t="n"/>
      <c r="E24" s="11">
        <f>IF(D24="高",IF(C24="高","战略型",IF(C24="低","瓶颈型","")),IF(C24="高","杠杆型",IF(C24="低","非关键型","")))</f>
        <v/>
      </c>
      <c r="F24" s="13">
        <f>IF(E24="战略型","建立战略伙伴/联合开发VAVE/双源备份/高层定期回顾",IF(E24="杠杆型","集中采购招标压价/标准化/年降目标/合同锁价",IF(E24="瓶颈型","多源替代料开发/安全库存/供应商扶持/长期保供",IF(E24="非关键型","流程简化/系统电商化/缩减供应商/按需采购",""))))</f>
        <v/>
      </c>
    </row>
    <row r="25">
      <c r="A25" s="14" t="n"/>
      <c r="B25" s="14" t="n"/>
      <c r="C25" s="11">
        <f>IF(B25&gt;=$C$2,"高","低")</f>
        <v/>
      </c>
      <c r="D25" s="11" t="n"/>
      <c r="E25" s="11">
        <f>IF(D25="高",IF(C25="高","战略型",IF(C25="低","瓶颈型","")),IF(C25="高","杠杆型",IF(C25="低","非关键型","")))</f>
        <v/>
      </c>
      <c r="F25" s="13">
        <f>IF(E25="战略型","建立战略伙伴/联合开发VAVE/双源备份/高层定期回顾",IF(E25="杠杆型","集中采购招标压价/标准化/年降目标/合同锁价",IF(E25="瓶颈型","多源替代料开发/安全库存/供应商扶持/长期保供",IF(E25="非关键型","流程简化/系统电商化/缩减供应商/按需采购",""))))</f>
        <v/>
      </c>
    </row>
    <row r="26">
      <c r="A26" s="14" t="n"/>
      <c r="B26" s="14" t="n"/>
      <c r="C26" s="11">
        <f>IF(B26&gt;=$C$2,"高","低")</f>
        <v/>
      </c>
      <c r="D26" s="11" t="n"/>
      <c r="E26" s="11">
        <f>IF(D26="高",IF(C26="高","战略型",IF(C26="低","瓶颈型","")),IF(C26="高","杠杆型",IF(C26="低","非关键型","")))</f>
        <v/>
      </c>
      <c r="F26" s="13">
        <f>IF(E26="战略型","建立战略伙伴/联合开发VAVE/双源备份/高层定期回顾",IF(E26="杠杆型","集中采购招标压价/标准化/年降目标/合同锁价",IF(E26="瓶颈型","多源替代料开发/安全库存/供应商扶持/长期保供",IF(E26="非关键型","流程简化/系统电商化/缩减供应商/按需采购",""))))</f>
        <v/>
      </c>
    </row>
    <row r="27">
      <c r="A27" s="14" t="n"/>
      <c r="B27" s="14" t="n"/>
      <c r="C27" s="11">
        <f>IF(B27&gt;=$C$2,"高","低")</f>
        <v/>
      </c>
      <c r="D27" s="11" t="n"/>
      <c r="E27" s="11">
        <f>IF(D27="高",IF(C27="高","战略型",IF(C27="低","瓶颈型","")),IF(C27="高","杠杆型",IF(C27="低","非关键型","")))</f>
        <v/>
      </c>
      <c r="F27" s="13">
        <f>IF(E27="战略型","建立战略伙伴/联合开发VAVE/双源备份/高层定期回顾",IF(E27="杠杆型","集中采购招标压价/标准化/年降目标/合同锁价",IF(E27="瓶颈型","多源替代料开发/安全库存/供应商扶持/长期保供",IF(E27="非关键型","流程简化/系统电商化/缩减供应商/按需采购",""))))</f>
        <v/>
      </c>
    </row>
    <row r="28">
      <c r="A28" s="14" t="n"/>
      <c r="B28" s="14" t="n"/>
      <c r="C28" s="11">
        <f>IF(B28&gt;=$C$2,"高","低")</f>
        <v/>
      </c>
      <c r="D28" s="11" t="n"/>
      <c r="E28" s="11">
        <f>IF(D28="高",IF(C28="高","战略型",IF(C28="低","瓶颈型","")),IF(C28="高","杠杆型",IF(C28="低","非关键型","")))</f>
        <v/>
      </c>
      <c r="F28" s="13">
        <f>IF(E28="战略型","建立战略伙伴/联合开发VAVE/双源备份/高层定期回顾",IF(E28="杠杆型","集中采购招标压价/标准化/年降目标/合同锁价",IF(E28="瓶颈型","多源替代料开发/安全库存/供应商扶持/长期保供",IF(E28="非关键型","流程简化/系统电商化/缩减供应商/按需采购",""))))</f>
        <v/>
      </c>
    </row>
  </sheetData>
  <mergeCells count="2">
    <mergeCell ref="A1:F1"/>
    <mergeCell ref="A7:F7"/>
  </mergeCells>
  <conditionalFormatting sqref="E9:E28">
    <cfRule type="cellIs" priority="1" operator="equal" dxfId="0">
      <formula>"战略型"</formula>
    </cfRule>
    <cfRule type="cellIs" priority="2" operator="equal" dxfId="1">
      <formula>"杠杆型"</formula>
    </cfRule>
    <cfRule type="cellIs" priority="3" operator="equal" dxfId="2">
      <formula>"瓶颈型"</formula>
    </cfRule>
    <cfRule type="cellIs" priority="4" operator="equal" dxfId="3">
      <formula>"非关键型"</formula>
    </cfRule>
  </conditionalFormatting>
  <dataValidations count="1">
    <dataValidation sqref="D9:D28" showDropDown="0" showInputMessage="0" showErrorMessage="0" allowBlank="1" type="list">
      <formula1>"高,低"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22" customWidth="1" min="6" max="6"/>
    <col width="22" customWidth="1" min="7" max="7"/>
    <col width="16" customWidth="1" min="8" max="8"/>
    <col width="24" customWidth="1" min="9" max="9"/>
    <col width="10" customWidth="1" min="10" max="10"/>
    <col width="12" customWidth="1" min="11" max="11"/>
    <col width="16" customWidth="1" min="12" max="12"/>
  </cols>
  <sheetData>
    <row r="1" ht="24" customHeight="1">
      <c r="A1" s="1" t="inlineStr">
        <is>
          <t>品类策略管理表（按 Kraljic 定位制定差异化策略）</t>
        </is>
      </c>
    </row>
    <row r="2" ht="30" customHeight="1">
      <c r="A2" s="9" t="inlineStr">
        <is>
          <t>品类名称</t>
        </is>
      </c>
      <c r="B2" s="9" t="inlineStr">
        <is>
          <t>Kraljic定位</t>
        </is>
      </c>
      <c r="C2" s="9" t="inlineStr">
        <is>
          <t>年采购金额(万元)</t>
        </is>
      </c>
      <c r="D2" s="9" t="inlineStr">
        <is>
          <t>现有供应商数</t>
        </is>
      </c>
      <c r="E2" s="9" t="inlineStr">
        <is>
          <t>目标供应商数</t>
        </is>
      </c>
      <c r="F2" s="9" t="inlineStr">
        <is>
          <t>寻源策略</t>
        </is>
      </c>
      <c r="G2" s="9" t="inlineStr">
        <is>
          <t>定价/合同策略</t>
        </is>
      </c>
      <c r="H2" s="9" t="inlineStr">
        <is>
          <t>库存策略</t>
        </is>
      </c>
      <c r="I2" s="9" t="inlineStr">
        <is>
          <t>风险缓解措施</t>
        </is>
      </c>
      <c r="J2" s="9" t="inlineStr">
        <is>
          <t>负责人</t>
        </is>
      </c>
      <c r="K2" s="9" t="inlineStr">
        <is>
          <t>复盘周期(月)</t>
        </is>
      </c>
      <c r="L2" s="9" t="inlineStr">
        <is>
          <t>备注</t>
        </is>
      </c>
    </row>
    <row r="3">
      <c r="A3" s="15" t="n"/>
      <c r="B3" s="15" t="n"/>
      <c r="C3" s="12" t="n"/>
      <c r="D3" s="12" t="n"/>
      <c r="E3" s="12" t="n"/>
      <c r="F3" s="15" t="n"/>
      <c r="G3" s="15" t="n"/>
      <c r="H3" s="15" t="n"/>
      <c r="I3" s="15" t="n"/>
      <c r="J3" s="12" t="n"/>
      <c r="K3" s="12" t="n"/>
      <c r="L3" s="15" t="n"/>
    </row>
    <row r="4">
      <c r="A4" s="15" t="n"/>
      <c r="B4" s="15" t="n"/>
      <c r="C4" s="12" t="n"/>
      <c r="D4" s="12" t="n"/>
      <c r="E4" s="12" t="n"/>
      <c r="F4" s="15" t="n"/>
      <c r="G4" s="15" t="n"/>
      <c r="H4" s="15" t="n"/>
      <c r="I4" s="15" t="n"/>
      <c r="J4" s="12" t="n"/>
      <c r="K4" s="12" t="n"/>
      <c r="L4" s="15" t="n"/>
    </row>
    <row r="5">
      <c r="A5" s="15" t="n"/>
      <c r="B5" s="15" t="n"/>
      <c r="C5" s="12" t="n"/>
      <c r="D5" s="12" t="n"/>
      <c r="E5" s="12" t="n"/>
      <c r="F5" s="15" t="n"/>
      <c r="G5" s="15" t="n"/>
      <c r="H5" s="15" t="n"/>
      <c r="I5" s="15" t="n"/>
      <c r="J5" s="12" t="n"/>
      <c r="K5" s="12" t="n"/>
      <c r="L5" s="15" t="n"/>
    </row>
    <row r="6">
      <c r="A6" s="15" t="n"/>
      <c r="B6" s="15" t="n"/>
      <c r="C6" s="12" t="n"/>
      <c r="D6" s="12" t="n"/>
      <c r="E6" s="12" t="n"/>
      <c r="F6" s="15" t="n"/>
      <c r="G6" s="15" t="n"/>
      <c r="H6" s="15" t="n"/>
      <c r="I6" s="15" t="n"/>
      <c r="J6" s="12" t="n"/>
      <c r="K6" s="12" t="n"/>
      <c r="L6" s="15" t="n"/>
    </row>
    <row r="7">
      <c r="A7" s="15" t="n"/>
      <c r="B7" s="15" t="n"/>
      <c r="C7" s="12" t="n"/>
      <c r="D7" s="12" t="n"/>
      <c r="E7" s="12" t="n"/>
      <c r="F7" s="15" t="n"/>
      <c r="G7" s="15" t="n"/>
      <c r="H7" s="15" t="n"/>
      <c r="I7" s="15" t="n"/>
      <c r="J7" s="12" t="n"/>
      <c r="K7" s="12" t="n"/>
      <c r="L7" s="15" t="n"/>
    </row>
    <row r="8">
      <c r="A8" s="15" t="n"/>
      <c r="B8" s="15" t="n"/>
      <c r="C8" s="12" t="n"/>
      <c r="D8" s="12" t="n"/>
      <c r="E8" s="12" t="n"/>
      <c r="F8" s="15" t="n"/>
      <c r="G8" s="15" t="n"/>
      <c r="H8" s="15" t="n"/>
      <c r="I8" s="15" t="n"/>
      <c r="J8" s="12" t="n"/>
      <c r="K8" s="12" t="n"/>
      <c r="L8" s="15" t="n"/>
    </row>
    <row r="9">
      <c r="A9" s="15" t="n"/>
      <c r="B9" s="15" t="n"/>
      <c r="C9" s="12" t="n"/>
      <c r="D9" s="12" t="n"/>
      <c r="E9" s="12" t="n"/>
      <c r="F9" s="15" t="n"/>
      <c r="G9" s="15" t="n"/>
      <c r="H9" s="15" t="n"/>
      <c r="I9" s="15" t="n"/>
      <c r="J9" s="12" t="n"/>
      <c r="K9" s="12" t="n"/>
      <c r="L9" s="15" t="n"/>
    </row>
    <row r="10">
      <c r="A10" s="15" t="n"/>
      <c r="B10" s="15" t="n"/>
      <c r="C10" s="12" t="n"/>
      <c r="D10" s="12" t="n"/>
      <c r="E10" s="12" t="n"/>
      <c r="F10" s="15" t="n"/>
      <c r="G10" s="15" t="n"/>
      <c r="H10" s="15" t="n"/>
      <c r="I10" s="15" t="n"/>
      <c r="J10" s="12" t="n"/>
      <c r="K10" s="12" t="n"/>
      <c r="L10" s="15" t="n"/>
    </row>
    <row r="11">
      <c r="A11" s="15" t="n"/>
      <c r="B11" s="15" t="n"/>
      <c r="C11" s="12" t="n"/>
      <c r="D11" s="12" t="n"/>
      <c r="E11" s="12" t="n"/>
      <c r="F11" s="15" t="n"/>
      <c r="G11" s="15" t="n"/>
      <c r="H11" s="15" t="n"/>
      <c r="I11" s="15" t="n"/>
      <c r="J11" s="12" t="n"/>
      <c r="K11" s="12" t="n"/>
      <c r="L11" s="15" t="n"/>
    </row>
    <row r="12">
      <c r="A12" s="15" t="n"/>
      <c r="B12" s="15" t="n"/>
      <c r="C12" s="12" t="n"/>
      <c r="D12" s="12" t="n"/>
      <c r="E12" s="12" t="n"/>
      <c r="F12" s="15" t="n"/>
      <c r="G12" s="15" t="n"/>
      <c r="H12" s="15" t="n"/>
      <c r="I12" s="15" t="n"/>
      <c r="J12" s="12" t="n"/>
      <c r="K12" s="12" t="n"/>
      <c r="L12" s="15" t="n"/>
    </row>
    <row r="13">
      <c r="A13" s="15" t="n"/>
      <c r="B13" s="15" t="n"/>
      <c r="C13" s="12" t="n"/>
      <c r="D13" s="12" t="n"/>
      <c r="E13" s="12" t="n"/>
      <c r="F13" s="15" t="n"/>
      <c r="G13" s="15" t="n"/>
      <c r="H13" s="15" t="n"/>
      <c r="I13" s="15" t="n"/>
      <c r="J13" s="12" t="n"/>
      <c r="K13" s="12" t="n"/>
      <c r="L13" s="15" t="n"/>
    </row>
    <row r="14">
      <c r="A14" s="15" t="n"/>
      <c r="B14" s="15" t="n"/>
      <c r="C14" s="12" t="n"/>
      <c r="D14" s="12" t="n"/>
      <c r="E14" s="12" t="n"/>
      <c r="F14" s="15" t="n"/>
      <c r="G14" s="15" t="n"/>
      <c r="H14" s="15" t="n"/>
      <c r="I14" s="15" t="n"/>
      <c r="J14" s="12" t="n"/>
      <c r="K14" s="12" t="n"/>
      <c r="L14" s="15" t="n"/>
    </row>
    <row r="15">
      <c r="A15" s="15" t="n"/>
      <c r="B15" s="15" t="n"/>
      <c r="C15" s="12" t="n"/>
      <c r="D15" s="12" t="n"/>
      <c r="E15" s="12" t="n"/>
      <c r="F15" s="15" t="n"/>
      <c r="G15" s="15" t="n"/>
      <c r="H15" s="15" t="n"/>
      <c r="I15" s="15" t="n"/>
      <c r="J15" s="12" t="n"/>
      <c r="K15" s="12" t="n"/>
      <c r="L15" s="15" t="n"/>
    </row>
    <row r="16">
      <c r="A16" s="15" t="n"/>
      <c r="B16" s="15" t="n"/>
      <c r="C16" s="12" t="n"/>
      <c r="D16" s="12" t="n"/>
      <c r="E16" s="12" t="n"/>
      <c r="F16" s="15" t="n"/>
      <c r="G16" s="15" t="n"/>
      <c r="H16" s="15" t="n"/>
      <c r="I16" s="15" t="n"/>
      <c r="J16" s="12" t="n"/>
      <c r="K16" s="12" t="n"/>
      <c r="L16" s="15" t="n"/>
    </row>
    <row r="17">
      <c r="A17" s="15" t="n"/>
      <c r="B17" s="15" t="n"/>
      <c r="C17" s="12" t="n"/>
      <c r="D17" s="12" t="n"/>
      <c r="E17" s="12" t="n"/>
      <c r="F17" s="15" t="n"/>
      <c r="G17" s="15" t="n"/>
      <c r="H17" s="15" t="n"/>
      <c r="I17" s="15" t="n"/>
      <c r="J17" s="12" t="n"/>
      <c r="K17" s="12" t="n"/>
      <c r="L17" s="15" t="n"/>
    </row>
    <row r="18">
      <c r="A18" s="15" t="n"/>
      <c r="B18" s="15" t="n"/>
      <c r="C18" s="12" t="n"/>
      <c r="D18" s="12" t="n"/>
      <c r="E18" s="12" t="n"/>
      <c r="F18" s="15" t="n"/>
      <c r="G18" s="15" t="n"/>
      <c r="H18" s="15" t="n"/>
      <c r="I18" s="15" t="n"/>
      <c r="J18" s="12" t="n"/>
      <c r="K18" s="12" t="n"/>
      <c r="L18" s="15" t="n"/>
    </row>
    <row r="19">
      <c r="A19" s="15" t="n"/>
      <c r="B19" s="15" t="n"/>
      <c r="C19" s="12" t="n"/>
      <c r="D19" s="12" t="n"/>
      <c r="E19" s="12" t="n"/>
      <c r="F19" s="15" t="n"/>
      <c r="G19" s="15" t="n"/>
      <c r="H19" s="15" t="n"/>
      <c r="I19" s="15" t="n"/>
      <c r="J19" s="12" t="n"/>
      <c r="K19" s="12" t="n"/>
      <c r="L19" s="15" t="n"/>
    </row>
    <row r="20">
      <c r="A20" s="15" t="n"/>
      <c r="B20" s="15" t="n"/>
      <c r="C20" s="12" t="n"/>
      <c r="D20" s="12" t="n"/>
      <c r="E20" s="12" t="n"/>
      <c r="F20" s="15" t="n"/>
      <c r="G20" s="15" t="n"/>
      <c r="H20" s="15" t="n"/>
      <c r="I20" s="15" t="n"/>
      <c r="J20" s="12" t="n"/>
      <c r="K20" s="12" t="n"/>
      <c r="L20" s="15" t="n"/>
    </row>
    <row r="21">
      <c r="A21" s="15" t="n"/>
      <c r="B21" s="15" t="n"/>
      <c r="C21" s="12" t="n"/>
      <c r="D21" s="12" t="n"/>
      <c r="E21" s="12" t="n"/>
      <c r="F21" s="15" t="n"/>
      <c r="G21" s="15" t="n"/>
      <c r="H21" s="15" t="n"/>
      <c r="I21" s="15" t="n"/>
      <c r="J21" s="12" t="n"/>
      <c r="K21" s="12" t="n"/>
      <c r="L21" s="15" t="n"/>
    </row>
    <row r="22">
      <c r="A22" s="15" t="n"/>
      <c r="B22" s="15" t="n"/>
      <c r="C22" s="12" t="n"/>
      <c r="D22" s="12" t="n"/>
      <c r="E22" s="12" t="n"/>
      <c r="F22" s="15" t="n"/>
      <c r="G22" s="15" t="n"/>
      <c r="H22" s="15" t="n"/>
      <c r="I22" s="15" t="n"/>
      <c r="J22" s="12" t="n"/>
      <c r="K22" s="12" t="n"/>
      <c r="L22" s="15" t="n"/>
    </row>
  </sheetData>
  <mergeCells count="1">
    <mergeCell ref="A1:L1"/>
  </mergeCells>
  <conditionalFormatting sqref="B3:B22">
    <cfRule type="cellIs" priority="1" operator="equal" dxfId="0">
      <formula>"战略型"</formula>
    </cfRule>
    <cfRule type="cellIs" priority="2" operator="equal" dxfId="1">
      <formula>"杠杆型"</formula>
    </cfRule>
    <cfRule type="cellIs" priority="3" operator="equal" dxfId="2">
      <formula>"瓶颈型"</formula>
    </cfRule>
    <cfRule type="cellIs" priority="4" operator="equal" dxfId="3">
      <formula>"非关键型"</formula>
    </cfRule>
  </conditionalFormatting>
  <dataValidations count="1">
    <dataValidation sqref="B3:B22" showDropDown="0" showInputMessage="0" showErrorMessage="0" allowBlank="1" type="list">
      <formula1>"战略型,杠杆型,瓶颈型,非关键型"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2" customWidth="1" min="5" max="5"/>
    <col width="20" customWidth="1" min="6" max="6"/>
  </cols>
  <sheetData>
    <row r="1" ht="24" customHeight="1">
      <c r="A1" s="1" t="inlineStr">
        <is>
          <t>支出分析（ABC / Pareto，请按年支出降序排列）</t>
        </is>
      </c>
    </row>
    <row r="2" ht="28" customHeight="1">
      <c r="A2" s="9" t="inlineStr">
        <is>
          <t>品类</t>
        </is>
      </c>
      <c r="B2" s="9" t="inlineStr">
        <is>
          <t>年支出(万元)</t>
        </is>
      </c>
      <c r="C2" s="9" t="inlineStr">
        <is>
          <t>占比%</t>
        </is>
      </c>
      <c r="D2" s="9" t="inlineStr">
        <is>
          <t>累计%</t>
        </is>
      </c>
      <c r="E2" s="9" t="inlineStr">
        <is>
          <t>ABC分类</t>
        </is>
      </c>
      <c r="F2" s="9" t="inlineStr">
        <is>
          <t>备注</t>
        </is>
      </c>
    </row>
    <row r="3">
      <c r="A3" s="15" t="n"/>
      <c r="B3" s="12" t="n"/>
      <c r="C3" s="16">
        <f>IF(SUM($B$3:$B$22)=0,0,B3/SUM($B$3:$B$22))</f>
        <v/>
      </c>
      <c r="D3" s="16">
        <f>C3+0</f>
        <v/>
      </c>
      <c r="E3" s="12">
        <f>IF(D3&lt;=0.8,"A",IF(D3&lt;=0.95,"B","C"))</f>
        <v/>
      </c>
      <c r="F3" s="15" t="n"/>
    </row>
    <row r="4">
      <c r="A4" s="15" t="n"/>
      <c r="B4" s="12" t="n"/>
      <c r="C4" s="16">
        <f>IF(SUM($B$3:$B$22)=0,0,B4/SUM($B$3:$B$22))</f>
        <v/>
      </c>
      <c r="D4" s="16">
        <f>C4+D3</f>
        <v/>
      </c>
      <c r="E4" s="12">
        <f>IF(D4&lt;=0.8,"A",IF(D4&lt;=0.95,"B","C"))</f>
        <v/>
      </c>
      <c r="F4" s="15" t="n"/>
    </row>
    <row r="5">
      <c r="A5" s="15" t="n"/>
      <c r="B5" s="12" t="n"/>
      <c r="C5" s="16">
        <f>IF(SUM($B$3:$B$22)=0,0,B5/SUM($B$3:$B$22))</f>
        <v/>
      </c>
      <c r="D5" s="16">
        <f>C5+D4</f>
        <v/>
      </c>
      <c r="E5" s="12">
        <f>IF(D5&lt;=0.8,"A",IF(D5&lt;=0.95,"B","C"))</f>
        <v/>
      </c>
      <c r="F5" s="15" t="n"/>
    </row>
    <row r="6">
      <c r="A6" s="15" t="n"/>
      <c r="B6" s="12" t="n"/>
      <c r="C6" s="16">
        <f>IF(SUM($B$3:$B$22)=0,0,B6/SUM($B$3:$B$22))</f>
        <v/>
      </c>
      <c r="D6" s="16">
        <f>C6+D5</f>
        <v/>
      </c>
      <c r="E6" s="12">
        <f>IF(D6&lt;=0.8,"A",IF(D6&lt;=0.95,"B","C"))</f>
        <v/>
      </c>
      <c r="F6" s="15" t="n"/>
    </row>
    <row r="7">
      <c r="A7" s="15" t="n"/>
      <c r="B7" s="12" t="n"/>
      <c r="C7" s="16">
        <f>IF(SUM($B$3:$B$22)=0,0,B7/SUM($B$3:$B$22))</f>
        <v/>
      </c>
      <c r="D7" s="16">
        <f>C7+D6</f>
        <v/>
      </c>
      <c r="E7" s="12">
        <f>IF(D7&lt;=0.8,"A",IF(D7&lt;=0.95,"B","C"))</f>
        <v/>
      </c>
      <c r="F7" s="15" t="n"/>
    </row>
    <row r="8">
      <c r="A8" s="15" t="n"/>
      <c r="B8" s="12" t="n"/>
      <c r="C8" s="16">
        <f>IF(SUM($B$3:$B$22)=0,0,B8/SUM($B$3:$B$22))</f>
        <v/>
      </c>
      <c r="D8" s="16">
        <f>C8+D7</f>
        <v/>
      </c>
      <c r="E8" s="12">
        <f>IF(D8&lt;=0.8,"A",IF(D8&lt;=0.95,"B","C"))</f>
        <v/>
      </c>
      <c r="F8" s="15" t="n"/>
    </row>
    <row r="9">
      <c r="A9" s="15" t="n"/>
      <c r="B9" s="12" t="n"/>
      <c r="C9" s="16">
        <f>IF(SUM($B$3:$B$22)=0,0,B9/SUM($B$3:$B$22))</f>
        <v/>
      </c>
      <c r="D9" s="16">
        <f>C9+D8</f>
        <v/>
      </c>
      <c r="E9" s="12">
        <f>IF(D9&lt;=0.8,"A",IF(D9&lt;=0.95,"B","C"))</f>
        <v/>
      </c>
      <c r="F9" s="15" t="n"/>
    </row>
    <row r="10">
      <c r="A10" s="15" t="n"/>
      <c r="B10" s="12" t="n"/>
      <c r="C10" s="16">
        <f>IF(SUM($B$3:$B$22)=0,0,B10/SUM($B$3:$B$22))</f>
        <v/>
      </c>
      <c r="D10" s="16">
        <f>C10+D9</f>
        <v/>
      </c>
      <c r="E10" s="12">
        <f>IF(D10&lt;=0.8,"A",IF(D10&lt;=0.95,"B","C"))</f>
        <v/>
      </c>
      <c r="F10" s="15" t="n"/>
    </row>
    <row r="11">
      <c r="A11" s="15" t="n"/>
      <c r="B11" s="12" t="n"/>
      <c r="C11" s="16">
        <f>IF(SUM($B$3:$B$22)=0,0,B11/SUM($B$3:$B$22))</f>
        <v/>
      </c>
      <c r="D11" s="16">
        <f>C11+D10</f>
        <v/>
      </c>
      <c r="E11" s="12">
        <f>IF(D11&lt;=0.8,"A",IF(D11&lt;=0.95,"B","C"))</f>
        <v/>
      </c>
      <c r="F11" s="15" t="n"/>
    </row>
    <row r="12">
      <c r="A12" s="15" t="n"/>
      <c r="B12" s="12" t="n"/>
      <c r="C12" s="16">
        <f>IF(SUM($B$3:$B$22)=0,0,B12/SUM($B$3:$B$22))</f>
        <v/>
      </c>
      <c r="D12" s="16">
        <f>C12+D11</f>
        <v/>
      </c>
      <c r="E12" s="12">
        <f>IF(D12&lt;=0.8,"A",IF(D12&lt;=0.95,"B","C"))</f>
        <v/>
      </c>
      <c r="F12" s="15" t="n"/>
    </row>
    <row r="13">
      <c r="A13" s="15" t="n"/>
      <c r="B13" s="12" t="n"/>
      <c r="C13" s="16">
        <f>IF(SUM($B$3:$B$22)=0,0,B13/SUM($B$3:$B$22))</f>
        <v/>
      </c>
      <c r="D13" s="16">
        <f>C13+D12</f>
        <v/>
      </c>
      <c r="E13" s="12">
        <f>IF(D13&lt;=0.8,"A",IF(D13&lt;=0.95,"B","C"))</f>
        <v/>
      </c>
      <c r="F13" s="15" t="n"/>
    </row>
    <row r="14">
      <c r="A14" s="15" t="n"/>
      <c r="B14" s="12" t="n"/>
      <c r="C14" s="16">
        <f>IF(SUM($B$3:$B$22)=0,0,B14/SUM($B$3:$B$22))</f>
        <v/>
      </c>
      <c r="D14" s="16">
        <f>C14+D13</f>
        <v/>
      </c>
      <c r="E14" s="12">
        <f>IF(D14&lt;=0.8,"A",IF(D14&lt;=0.95,"B","C"))</f>
        <v/>
      </c>
      <c r="F14" s="15" t="n"/>
    </row>
    <row r="15">
      <c r="A15" s="15" t="n"/>
      <c r="B15" s="12" t="n"/>
      <c r="C15" s="16">
        <f>IF(SUM($B$3:$B$22)=0,0,B15/SUM($B$3:$B$22))</f>
        <v/>
      </c>
      <c r="D15" s="16">
        <f>C15+D14</f>
        <v/>
      </c>
      <c r="E15" s="12">
        <f>IF(D15&lt;=0.8,"A",IF(D15&lt;=0.95,"B","C"))</f>
        <v/>
      </c>
      <c r="F15" s="15" t="n"/>
    </row>
    <row r="16">
      <c r="A16" s="15" t="n"/>
      <c r="B16" s="12" t="n"/>
      <c r="C16" s="16">
        <f>IF(SUM($B$3:$B$22)=0,0,B16/SUM($B$3:$B$22))</f>
        <v/>
      </c>
      <c r="D16" s="16">
        <f>C16+D15</f>
        <v/>
      </c>
      <c r="E16" s="12">
        <f>IF(D16&lt;=0.8,"A",IF(D16&lt;=0.95,"B","C"))</f>
        <v/>
      </c>
      <c r="F16" s="15" t="n"/>
    </row>
    <row r="17">
      <c r="A17" s="15" t="n"/>
      <c r="B17" s="12" t="n"/>
      <c r="C17" s="16">
        <f>IF(SUM($B$3:$B$22)=0,0,B17/SUM($B$3:$B$22))</f>
        <v/>
      </c>
      <c r="D17" s="16">
        <f>C17+D16</f>
        <v/>
      </c>
      <c r="E17" s="12">
        <f>IF(D17&lt;=0.8,"A",IF(D17&lt;=0.95,"B","C"))</f>
        <v/>
      </c>
      <c r="F17" s="15" t="n"/>
    </row>
    <row r="18">
      <c r="A18" s="15" t="n"/>
      <c r="B18" s="12" t="n"/>
      <c r="C18" s="16">
        <f>IF(SUM($B$3:$B$22)=0,0,B18/SUM($B$3:$B$22))</f>
        <v/>
      </c>
      <c r="D18" s="16">
        <f>C18+D17</f>
        <v/>
      </c>
      <c r="E18" s="12">
        <f>IF(D18&lt;=0.8,"A",IF(D18&lt;=0.95,"B","C"))</f>
        <v/>
      </c>
      <c r="F18" s="15" t="n"/>
    </row>
    <row r="19">
      <c r="A19" s="15" t="n"/>
      <c r="B19" s="12" t="n"/>
      <c r="C19" s="16">
        <f>IF(SUM($B$3:$B$22)=0,0,B19/SUM($B$3:$B$22))</f>
        <v/>
      </c>
      <c r="D19" s="16">
        <f>C19+D18</f>
        <v/>
      </c>
      <c r="E19" s="12">
        <f>IF(D19&lt;=0.8,"A",IF(D19&lt;=0.95,"B","C"))</f>
        <v/>
      </c>
      <c r="F19" s="15" t="n"/>
    </row>
    <row r="20">
      <c r="A20" s="15" t="n"/>
      <c r="B20" s="12" t="n"/>
      <c r="C20" s="16">
        <f>IF(SUM($B$3:$B$22)=0,0,B20/SUM($B$3:$B$22))</f>
        <v/>
      </c>
      <c r="D20" s="16">
        <f>C20+D19</f>
        <v/>
      </c>
      <c r="E20" s="12">
        <f>IF(D20&lt;=0.8,"A",IF(D20&lt;=0.95,"B","C"))</f>
        <v/>
      </c>
      <c r="F20" s="15" t="n"/>
    </row>
    <row r="21">
      <c r="A21" s="15" t="n"/>
      <c r="B21" s="12" t="n"/>
      <c r="C21" s="16">
        <f>IF(SUM($B$3:$B$22)=0,0,B21/SUM($B$3:$B$22))</f>
        <v/>
      </c>
      <c r="D21" s="16">
        <f>C21+D20</f>
        <v/>
      </c>
      <c r="E21" s="12">
        <f>IF(D21&lt;=0.8,"A",IF(D21&lt;=0.95,"B","C"))</f>
        <v/>
      </c>
      <c r="F21" s="15" t="n"/>
    </row>
    <row r="22">
      <c r="A22" s="15" t="n"/>
      <c r="B22" s="12" t="n"/>
      <c r="C22" s="16">
        <f>IF(SUM($B$3:$B$22)=0,0,B22/SUM($B$3:$B$22))</f>
        <v/>
      </c>
      <c r="D22" s="16">
        <f>C22+D21</f>
        <v/>
      </c>
      <c r="E22" s="12">
        <f>IF(D22&lt;=0.8,"A",IF(D22&lt;=0.95,"B","C"))</f>
        <v/>
      </c>
      <c r="F22" s="15" t="n"/>
    </row>
  </sheetData>
  <mergeCells count="1">
    <mergeCell ref="A1:F1"/>
  </mergeCells>
  <conditionalFormatting sqref="E3:E22">
    <cfRule type="cellIs" priority="1" operator="equal" dxfId="0">
      <formula>"A"</formula>
    </cfRule>
    <cfRule type="cellIs" priority="2" operator="equal" dxfId="4">
      <formula>"B"</formula>
    </cfRule>
    <cfRule type="cellIs" priority="3" operator="equal" dxfId="5">
      <formula>"C"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2026-09-19T12:48:52Z</dcterms:created>
  <dcterms:modified xsi:type="dcterms:W3CDTF">2026-09-19T12:51:42Z</dcterms:modified>
</cp:coreProperties>
</file>