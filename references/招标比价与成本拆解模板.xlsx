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投标方式选择" sheetId="1" state="visible" r:id="rId1"/>
    <sheet name="Should-Cost成本拆解" sheetId="2" state="visible" r:id="rId2"/>
    <sheet name="成本要素参数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1F4E78"/>
      <sz val="14"/>
    </font>
    <font>
      <b val="1"/>
    </font>
    <font>
      <i val="1"/>
      <color rgb="FF808080"/>
      <sz val="9"/>
    </font>
    <font>
      <b val="1"/>
      <color rgb="FF1F4E78"/>
      <sz val="11"/>
    </font>
    <font>
      <b val="1"/>
      <color rgb="FFFFFFFF"/>
      <sz val="11"/>
    </font>
    <font>
      <color rgb="FF808080"/>
      <sz val="9"/>
    </font>
    <font/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10" fillId="6" borderId="2"/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2" pivotButton="0" quotePrefix="0" xfId="0"/>
    <xf numFmtId="0" fontId="4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pivotButton="0" quotePrefix="0" xfId="0"/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4" fontId="10" fillId="2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10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3" fillId="6" borderId="2" pivotButton="0" quotePrefix="0" xfId="0"/>
    <xf numFmtId="0" fontId="4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pivotButton="0" quotePrefix="0" xfId="0"/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2" customWidth="1" style="3" min="1" max="1"/>
    <col width="40" customWidth="1" style="3" min="2" max="2"/>
    <col width="36" customWidth="1" style="3" min="3" max="3"/>
    <col width="12" customWidth="1" style="3" min="4" max="4"/>
  </cols>
  <sheetData>
    <row r="1">
      <c r="A1" s="22" t="inlineStr">
        <is>
          <t>.</t>
        </is>
      </c>
    </row>
    <row r="2"/>
    <row r="3">
      <c r="A3" s="23" t="inlineStr">
        <is>
          <t>品类Kraljic定位</t>
        </is>
      </c>
      <c r="B3" s="24" t="inlineStr">
        <is>
          <t>杠杆型</t>
        </is>
      </c>
      <c r="C3" s="25" t="inlineStr">
        <is>
          <t>战略型 / 杠杆型 / 瓶颈型 / 非关键型</t>
        </is>
      </c>
    </row>
    <row r="4">
      <c r="A4" s="23" t="inlineStr">
        <is>
          <t>预估金额(万元)</t>
        </is>
      </c>
      <c r="B4" s="24" t="n">
        <v>80</v>
      </c>
      <c r="C4" s="25" t="inlineStr">
        <is>
          <t>如 80</t>
        </is>
      </c>
    </row>
    <row r="5">
      <c r="A5" s="23" t="inlineStr">
        <is>
          <t>可选供应商数量</t>
        </is>
      </c>
      <c r="B5" s="24" t="n">
        <v>3</v>
      </c>
      <c r="C5" s="25" t="inlineStr">
        <is>
          <t>如 3</t>
        </is>
      </c>
    </row>
    <row r="6">
      <c r="A6" s="23" t="inlineStr">
        <is>
          <t>紧急程度</t>
        </is>
      </c>
      <c r="B6" s="24" t="inlineStr">
        <is>
          <t>低</t>
        </is>
      </c>
      <c r="C6" s="25" t="inlineStr">
        <is>
          <t>高 / 中 / 低</t>
        </is>
      </c>
    </row>
    <row r="7"/>
    <row r="8">
      <c r="A8" s="26" t="inlineStr">
        <is>
          <t>推荐结果（绿底为自动计算）</t>
        </is>
      </c>
    </row>
    <row r="9">
      <c r="A9" s="23" t="inlineStr">
        <is>
          <t>推荐方式</t>
        </is>
      </c>
      <c r="B9" s="27">
        <f>IF(B5=1,"单一来源",IF(B6="高",IF(B5&gt;=2,"竞争性谈判","单一来源"),IF(B3="战略型","公开招标",IF(AND(B3="杠杆型",B4&gt;=50),"邀请招标",IF(B3="瓶颈型","竞争性谈判",IF(AND(B3="非关键型",B4&lt;50),"询价","邀请招标"))))))</f>
        <v/>
      </c>
    </row>
    <row r="10">
      <c r="A10" s="23" t="inlineStr">
        <is>
          <t>选择理由</t>
        </is>
      </c>
      <c r="B10" s="28">
        <f>"定位:"&amp;B3&amp;" | 金额:"&amp;B4&amp;"万 | 供应商:"&amp;B5&amp;"家 | 紧急:"&amp;B6&amp;" → "&amp;B9</f>
        <v/>
      </c>
    </row>
    <row r="11"/>
    <row r="12">
      <c r="A12" s="26" t="inlineStr">
        <is>
          <t>示例</t>
        </is>
      </c>
    </row>
    <row r="13">
      <c r="A13" s="29" t="inlineStr">
        <is>
          <t>战略型 / 200万 / 3家 / 中</t>
        </is>
      </c>
      <c r="B13" s="30" t="inlineStr">
        <is>
          <t>公开招标</t>
        </is>
      </c>
    </row>
    <row r="14">
      <c r="A14" s="29" t="inlineStr">
        <is>
          <t>杠杆型 / 80万 / 4家 / 中</t>
        </is>
      </c>
      <c r="B14" s="30" t="inlineStr">
        <is>
          <t>邀请招标</t>
        </is>
      </c>
    </row>
    <row r="15">
      <c r="A15" s="29" t="inlineStr">
        <is>
          <t>瓶颈型 / 50万 / 1家 / 低</t>
        </is>
      </c>
      <c r="B15" s="30" t="inlineStr">
        <is>
          <t>单一来源</t>
        </is>
      </c>
    </row>
    <row r="16">
      <c r="A16" s="29" t="inlineStr">
        <is>
          <t>非关键型 / 20万 / 5家 / 低</t>
        </is>
      </c>
      <c r="B16" s="30" t="inlineStr">
        <is>
          <t>询价</t>
        </is>
      </c>
    </row>
    <row r="17">
      <c r="A17" s="29" t="inlineStr">
        <is>
          <t>杠杆型 / 80万 / 2家 / 高</t>
        </is>
      </c>
      <c r="B17" s="30" t="inlineStr">
        <is>
          <t>竞争性谈判</t>
        </is>
      </c>
    </row>
  </sheetData>
  <mergeCells count="1">
    <mergeCell ref="A1:D1"/>
  </mergeCells>
  <dataValidations count="2">
    <dataValidation sqref="B3" showDropDown="0" showInputMessage="0" showErrorMessage="0" allowBlank="1" type="list" operator="between">
      <formula1>"战略型,杠杆型,瓶颈型,非关键型"</formula1>
    </dataValidation>
    <dataValidation sqref="B6" showDropDown="0" showInputMessage="0" showErrorMessage="0" allowBlank="1" type="list" operator="between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4" customWidth="1" style="3" min="1" max="1"/>
    <col width="44" customWidth="1" style="3" min="2" max="2"/>
    <col width="14" customWidth="1" style="3" min="3" max="3"/>
    <col width="12" customWidth="1" style="3" min="4" max="4"/>
    <col width="22" customWidth="1" style="3" min="5" max="5"/>
  </cols>
  <sheetData>
    <row r="1">
      <c r="A1" s="22" t="inlineStr">
        <is>
          <t>Should-Cost 成本拆解与报价差异分析</t>
        </is>
      </c>
    </row>
    <row r="2"/>
    <row r="3">
      <c r="A3" s="31" t="inlineStr">
        <is>
          <t>成本要素</t>
        </is>
      </c>
      <c r="B3" s="31" t="inlineStr">
        <is>
          <t>计算逻辑 / 公式</t>
        </is>
      </c>
      <c r="C3" s="31" t="inlineStr">
        <is>
          <t>金额(元)</t>
        </is>
      </c>
      <c r="D3" s="31" t="inlineStr">
        <is>
          <t>占比</t>
        </is>
      </c>
      <c r="E3" s="31" t="inlineStr">
        <is>
          <t>备注</t>
        </is>
      </c>
    </row>
    <row r="4">
      <c r="A4" s="23" t="inlineStr">
        <is>
          <t>直接材料</t>
        </is>
      </c>
      <c r="B4" s="32" t="inlineStr">
        <is>
          <t>Σ(零件净重×材料单价×(1+损耗率))</t>
        </is>
      </c>
      <c r="C4" s="15" t="n">
        <v>1000</v>
      </c>
      <c r="D4" s="33">
        <f>IF($C$11=0,0,C4/$C$11)</f>
        <v/>
      </c>
      <c r="E4" s="34" t="inlineStr">
        <is>
          <t>如 1200</t>
        </is>
      </c>
    </row>
    <row r="5">
      <c r="A5" s="23" t="inlineStr">
        <is>
          <t>直接人工</t>
        </is>
      </c>
      <c r="B5" s="32" t="inlineStr">
        <is>
          <t>Σ(工序标准工时×工时费率)</t>
        </is>
      </c>
      <c r="C5" s="15" t="n">
        <v>200</v>
      </c>
      <c r="D5" s="33">
        <f>IF($C$11=0,0,C5/$C$11)</f>
        <v/>
      </c>
      <c r="E5" s="34" t="inlineStr">
        <is>
          <t>如 300</t>
        </is>
      </c>
    </row>
    <row r="6">
      <c r="A6" s="23" t="inlineStr">
        <is>
          <t>制造费用</t>
        </is>
      </c>
      <c r="B6" s="32" t="inlineStr">
        <is>
          <t>设备折旧/能源/厂房分摊</t>
        </is>
      </c>
      <c r="C6" s="15" t="n">
        <v>100</v>
      </c>
      <c r="D6" s="33">
        <f>IF($C$11=0,0,C6/$C$11)</f>
        <v/>
      </c>
      <c r="E6" s="34" t="inlineStr">
        <is>
          <t>如 200</t>
        </is>
      </c>
    </row>
    <row r="7">
      <c r="A7" s="23" t="inlineStr">
        <is>
          <t>专项费用</t>
        </is>
      </c>
      <c r="B7" s="32" t="inlineStr">
        <is>
          <t>模具摊销/外协/运费/包装</t>
        </is>
      </c>
      <c r="C7" s="15" t="n">
        <v>50</v>
      </c>
      <c r="D7" s="33">
        <f>IF($C$11=0,0,C7/$C$11)</f>
        <v/>
      </c>
      <c r="E7" s="34" t="inlineStr">
        <is>
          <t>如 150</t>
        </is>
      </c>
    </row>
    <row r="8">
      <c r="A8" s="23" t="inlineStr">
        <is>
          <t>管理费</t>
        </is>
      </c>
      <c r="B8" s="32" t="inlineStr">
        <is>
          <t>按 (材料+人工+制造+专项)×费率</t>
        </is>
      </c>
      <c r="C8" s="15" t="n">
        <v>150</v>
      </c>
      <c r="D8" s="33">
        <f>IF($C$11=0,0,C8/$C$11)</f>
        <v/>
      </c>
      <c r="E8" s="34" t="inlineStr">
        <is>
          <t>如 200</t>
        </is>
      </c>
    </row>
    <row r="9">
      <c r="A9" s="23" t="inlineStr">
        <is>
          <t>利润</t>
        </is>
      </c>
      <c r="B9" s="32" t="inlineStr">
        <is>
          <t>按 成本合计×目标利润率</t>
        </is>
      </c>
      <c r="C9" s="15" t="n">
        <v>120</v>
      </c>
      <c r="D9" s="33">
        <f>IF($C$11=0,0,C9/$C$11)</f>
        <v/>
      </c>
      <c r="E9" s="34" t="inlineStr">
        <is>
          <t>如 250</t>
        </is>
      </c>
    </row>
    <row r="10">
      <c r="A10" s="23" t="inlineStr">
        <is>
          <t>税金</t>
        </is>
      </c>
      <c r="B10" s="32" t="inlineStr">
        <is>
          <t>增值税等(可选)</t>
        </is>
      </c>
      <c r="C10" s="15" t="n">
        <v>200</v>
      </c>
      <c r="D10" s="33">
        <f>IF($C$11=0,0,C10/$C$11)</f>
        <v/>
      </c>
      <c r="E10" s="34" t="inlineStr">
        <is>
          <t>如 0</t>
        </is>
      </c>
    </row>
    <row r="11">
      <c r="A11" s="23" t="inlineStr">
        <is>
          <t>成本合计(Should-Cost)</t>
        </is>
      </c>
      <c r="C11" s="18">
        <f>SUM(C4:C10)</f>
        <v/>
      </c>
    </row>
    <row r="12">
      <c r="A12" s="23" t="inlineStr">
        <is>
          <t>供应商实际报价</t>
        </is>
      </c>
      <c r="C12" s="15" t="n">
        <v>2000</v>
      </c>
    </row>
    <row r="13">
      <c r="A13" s="23" t="inlineStr">
        <is>
          <t>绝对差异(报价-Should)</t>
        </is>
      </c>
      <c r="C13" s="19">
        <f>C12-C11</f>
        <v/>
      </c>
    </row>
    <row r="14">
      <c r="A14" s="23" t="inlineStr">
        <is>
          <t>差异率(差异/Should)</t>
        </is>
      </c>
      <c r="C14" s="35">
        <f>IF(C11=0,0,C13/C11)</f>
        <v/>
      </c>
      <c r="D14" s="25" t="inlineStr">
        <is>
          <t>报价高于Should 15%以上→红(偏高); 5%~15%→黄; &lt;5%→绿(合理)</t>
        </is>
      </c>
    </row>
  </sheetData>
  <mergeCells count="1">
    <mergeCell ref="A1:E1"/>
  </mergeCells>
  <conditionalFormatting sqref="C14">
    <cfRule type="cellIs" priority="1" operator="greaterThan" dxfId="0">
      <formula>0.15</formula>
    </cfRule>
    <cfRule type="cellIs" priority="2" operator="between" dxfId="1">
      <formula>0.05</formula>
      <formula>0.15</formula>
    </cfRule>
    <cfRule type="cellIs" priority="3" operator="lessThan" dxfId="2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6" customWidth="1" style="3" min="1" max="1"/>
    <col width="34" customWidth="1" style="3" min="2" max="2"/>
    <col width="40" customWidth="1" style="3" min="3" max="3"/>
  </cols>
  <sheetData>
    <row r="1">
      <c r="A1" s="22" t="inlineStr">
        <is>
          <t>成本要素与参数口径说明</t>
        </is>
      </c>
    </row>
    <row r="2"/>
    <row r="3">
      <c r="A3" s="31" t="inlineStr">
        <is>
          <t>要素</t>
        </is>
      </c>
      <c r="B3" s="31" t="inlineStr">
        <is>
          <t>典型费率 / 口径</t>
        </is>
      </c>
      <c r="C3" s="31" t="inlineStr">
        <is>
          <t>说明</t>
        </is>
      </c>
    </row>
    <row r="4">
      <c r="A4" s="23" t="inlineStr">
        <is>
          <t>直接材料</t>
        </is>
      </c>
      <c r="B4" s="29" t="inlineStr">
        <is>
          <t>材料单价取自近期采购价/市场价</t>
        </is>
      </c>
      <c r="C4" s="29" t="inlineStr">
        <is>
          <t>含主材与辅料；损耗率一般 3%~8%</t>
        </is>
      </c>
    </row>
    <row r="5">
      <c r="A5" s="23" t="inlineStr">
        <is>
          <t>直接人工</t>
        </is>
      </c>
      <c r="B5" s="29" t="inlineStr">
        <is>
          <t>工时费率=月薪÷标准工时(如 200元/时)</t>
        </is>
      </c>
      <c r="C5" s="29" t="inlineStr">
        <is>
          <t>含基本工资+社保+福利分摊</t>
        </is>
      </c>
    </row>
    <row r="6">
      <c r="A6" s="23" t="inlineStr">
        <is>
          <t>制造费用</t>
        </is>
      </c>
      <c r="B6" s="29" t="inlineStr">
        <is>
          <t>按机时或产值分摊</t>
        </is>
      </c>
      <c r="C6" s="29" t="inlineStr">
        <is>
          <t>设备折旧、能源、厂房、刀具</t>
        </is>
      </c>
    </row>
    <row r="7">
      <c r="A7" s="23" t="inlineStr">
        <is>
          <t>专项费用</t>
        </is>
      </c>
      <c r="B7" s="29" t="inlineStr">
        <is>
          <t>模具费÷生命周期产量</t>
        </is>
      </c>
      <c r="C7" s="29" t="inlineStr">
        <is>
          <t>一次性工装分摊到单件</t>
        </is>
      </c>
    </row>
    <row r="8">
      <c r="A8" s="23" t="inlineStr">
        <is>
          <t>管理费</t>
        </is>
      </c>
      <c r="B8" s="29" t="inlineStr">
        <is>
          <t>费率 8%~15%</t>
        </is>
      </c>
      <c r="C8" s="29" t="inlineStr">
        <is>
          <t>含管理、质量、财务间接成本</t>
        </is>
      </c>
    </row>
    <row r="9">
      <c r="A9" s="23" t="inlineStr">
        <is>
          <t>利润</t>
        </is>
      </c>
      <c r="B9" s="29" t="inlineStr">
        <is>
          <t>目标利润率 5%~12%</t>
        </is>
      </c>
      <c r="C9" s="29" t="inlineStr">
        <is>
          <t>按行业与供需关系调整</t>
        </is>
      </c>
    </row>
    <row r="10">
      <c r="A10" s="23" t="inlineStr">
        <is>
          <t>税金</t>
        </is>
      </c>
      <c r="B10" s="29" t="inlineStr">
        <is>
          <t>增值税 13% 等</t>
        </is>
      </c>
      <c r="C10" s="29" t="inlineStr">
        <is>
          <t>依开票类型与税率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2026-09-19T21:34:03Z</dcterms:created>
  <dcterms:modified xsi:type="dcterms:W3CDTF">2026-09-19T14:10:14Z</dcterms:modified>
</cp:coreProperties>
</file>