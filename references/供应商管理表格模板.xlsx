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准入评估表" sheetId="1" state="visible" r:id="rId1"/>
    <sheet name="供应商评估报告" sheetId="2" state="visible" r:id="rId2"/>
    <sheet name="采购比价表" sheetId="3" state="visible" r:id="rId3"/>
    <sheet name="公开风险核查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164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6500"/>
      </font>
      <fill>
        <patternFill patternType="solid">
          <fgColor rgb="00FFF2C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8" customWidth="1" min="4" max="4"/>
    <col width="13" customWidth="1" min="5" max="5"/>
    <col width="11" customWidth="1" min="6" max="6"/>
    <col width="30" customWidth="1" min="7" max="7"/>
    <col width="11" customWidth="1" min="8" max="8"/>
  </cols>
  <sheetData>
    <row r="1" ht="26" customHeight="1">
      <c r="A1" s="1" t="inlineStr">
        <is>
          <t>供应商准入评估表</t>
        </is>
      </c>
    </row>
    <row r="2">
      <c r="A2" s="2" t="inlineStr">
        <is>
          <t>序号</t>
        </is>
      </c>
      <c r="B2" s="2" t="inlineStr">
        <is>
          <t>评估维度</t>
        </is>
      </c>
      <c r="C2" s="2" t="inlineStr">
        <is>
          <t>关键项</t>
        </is>
      </c>
      <c r="D2" s="2" t="inlineStr">
        <is>
          <t>权重</t>
        </is>
      </c>
      <c r="E2" s="2" t="inlineStr">
        <is>
          <t>评审得分(1-5)</t>
        </is>
      </c>
      <c r="F2" s="2" t="inlineStr">
        <is>
          <t>加权得分</t>
        </is>
      </c>
      <c r="G2" s="2" t="inlineStr">
        <is>
          <t>证据/说明</t>
        </is>
      </c>
      <c r="H2" s="2" t="inlineStr">
        <is>
          <t>一票否决</t>
        </is>
      </c>
    </row>
    <row r="3">
      <c r="A3" s="3" t="n">
        <v>1</v>
      </c>
      <c r="B3" s="4" t="inlineStr">
        <is>
          <t>资质合规</t>
        </is>
      </c>
      <c r="C3" s="5" t="inlineStr">
        <is>
          <t>营业执照/体系证书(ISO9001/IATF16949)/行业强制认证/环保安监合规</t>
        </is>
      </c>
      <c r="D3" s="6" t="n">
        <v>0.15</v>
      </c>
      <c r="E3" s="3" t="n"/>
      <c r="F3" s="7">
        <f>E3*20*D3</f>
        <v/>
      </c>
      <c r="G3" s="8" t="n"/>
      <c r="H3" s="3" t="n"/>
    </row>
    <row r="4">
      <c r="A4" s="3" t="n">
        <v>2</v>
      </c>
      <c r="B4" s="4" t="inlineStr">
        <is>
          <t>质量体系</t>
        </is>
      </c>
      <c r="C4" s="5" t="inlineStr">
        <is>
          <t>检验设备/来料·过程·出货管控/不良率基线/客诉与8D机制</t>
        </is>
      </c>
      <c r="D4" s="6" t="n">
        <v>0.25</v>
      </c>
      <c r="E4" s="3" t="n"/>
      <c r="F4" s="7">
        <f>E4*20*D4</f>
        <v/>
      </c>
      <c r="G4" s="8" t="n"/>
      <c r="H4" s="3" t="n"/>
    </row>
    <row r="5">
      <c r="A5" s="3" t="n">
        <v>3</v>
      </c>
      <c r="B5" s="4" t="inlineStr">
        <is>
          <t>产能</t>
        </is>
      </c>
      <c r="C5" s="5" t="inlineStr">
        <is>
          <t>关键设备与产线/月·年产能/产能余量(≥20%为佳)/扩产柔性</t>
        </is>
      </c>
      <c r="D5" s="6" t="n">
        <v>0.25</v>
      </c>
      <c r="E5" s="3" t="n"/>
      <c r="F5" s="7">
        <f>E5*20*D5</f>
        <v/>
      </c>
      <c r="G5" s="8" t="n"/>
      <c r="H5" s="3" t="n"/>
    </row>
    <row r="6">
      <c r="A6" s="3" t="n">
        <v>4</v>
      </c>
      <c r="B6" s="4" t="inlineStr">
        <is>
          <t>交付</t>
        </is>
      </c>
      <c r="C6" s="5" t="inlineStr">
        <is>
          <t>历史准时率/交期稳定性/急单响应/物流方案</t>
        </is>
      </c>
      <c r="D6" s="6" t="n">
        <v>0.2</v>
      </c>
      <c r="E6" s="3" t="n"/>
      <c r="F6" s="7">
        <f>E6*20*D6</f>
        <v/>
      </c>
      <c r="G6" s="8" t="n"/>
      <c r="H6" s="3" t="n"/>
    </row>
    <row r="7">
      <c r="A7" s="3" t="n">
        <v>5</v>
      </c>
      <c r="B7" s="4" t="inlineStr">
        <is>
          <t>成本</t>
        </is>
      </c>
      <c r="C7" s="5" t="inlineStr">
        <is>
          <t>报价合理性/TCO(含质量损失与切换成本)/降价空间</t>
        </is>
      </c>
      <c r="D7" s="6" t="n">
        <v>0.15</v>
      </c>
      <c r="E7" s="3" t="n"/>
      <c r="F7" s="7">
        <f>E7*20*D7</f>
        <v/>
      </c>
      <c r="G7" s="8" t="n"/>
      <c r="H7" s="3" t="n"/>
    </row>
    <row r="8">
      <c r="B8" s="9" t="inlineStr">
        <is>
          <t>准入总分</t>
        </is>
      </c>
      <c r="F8" s="10">
        <f>SUM(F3:F7)</f>
        <v/>
      </c>
    </row>
    <row r="9">
      <c r="B9" s="9" t="inlineStr">
        <is>
          <t>等级</t>
        </is>
      </c>
      <c r="F9" s="11">
        <f>IF(F10&gt;0,"D",IF(F8&gt;=85,"A",IF(F8&gt;=70,"B",IF(F8&gt;=60,"C","D"))))</f>
        <v/>
      </c>
    </row>
    <row r="10">
      <c r="B10" s="9" t="inlineStr">
        <is>
          <t>一票否决项数</t>
        </is>
      </c>
      <c r="F10" s="11">
        <f>COUNTIF(H3:H7,"Y")</f>
        <v/>
      </c>
    </row>
    <row r="11">
      <c r="B11" s="9" t="inlineStr">
        <is>
          <t>准入结论</t>
        </is>
      </c>
      <c r="C11" s="12">
        <f>IF(F10&gt;0,"不准入（存在一票否决项）",IF(F8&gt;=85,"准入",IF(F8&gt;=70,"附条件准入",IF(F8&gt;=60,"附条件准入","不准入"))))</f>
        <v/>
      </c>
      <c r="F11" s="11" t="n"/>
    </row>
  </sheetData>
  <mergeCells count="1">
    <mergeCell ref="A1:H1"/>
  </mergeCells>
  <dataValidations count="2">
    <dataValidation sqref="H3:H7" showDropDown="0" showInputMessage="0" showErrorMessage="0" allowBlank="1" type="list">
      <formula1>"Y,N"</formula1>
    </dataValidation>
    <dataValidation sqref="E3:E7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8" customWidth="1" min="8" max="8"/>
    <col width="30" customWidth="1" min="9" max="9"/>
  </cols>
  <sheetData>
    <row r="1" ht="26" customHeight="1">
      <c r="A1" s="1" t="inlineStr">
        <is>
          <t>供应商评估报告（质量体系 / 产能 / 交付准时率 / 成本）</t>
        </is>
      </c>
    </row>
    <row r="2">
      <c r="A2" s="2" t="inlineStr">
        <is>
          <t>维度</t>
        </is>
      </c>
      <c r="B2" s="2" t="inlineStr">
        <is>
          <t>核心指标</t>
        </is>
      </c>
      <c r="C2" s="2" t="inlineStr">
        <is>
          <t>权重</t>
        </is>
      </c>
      <c r="D2" s="2" t="inlineStr">
        <is>
          <t>目标值</t>
        </is>
      </c>
      <c r="E2" s="2" t="inlineStr">
        <is>
          <t>实际值</t>
        </is>
      </c>
      <c r="F2" s="2" t="inlineStr">
        <is>
          <t>评分(1-5)</t>
        </is>
      </c>
      <c r="G2" s="2" t="inlineStr">
        <is>
          <t>加权得分</t>
        </is>
      </c>
      <c r="H2" s="2" t="inlineStr">
        <is>
          <t>趋势</t>
        </is>
      </c>
      <c r="I2" s="2" t="inlineStr">
        <is>
          <t>改进建议</t>
        </is>
      </c>
    </row>
    <row r="3">
      <c r="A3" s="4" t="inlineStr">
        <is>
          <t>质量体系</t>
        </is>
      </c>
      <c r="B3" s="5" t="inlineStr">
        <is>
          <t>体系认证等级/过程能力CPK/来料合格率/质量事故次数/8D闭环</t>
        </is>
      </c>
      <c r="C3" s="6" t="n">
        <v>0.3</v>
      </c>
      <c r="D3" s="3" t="n"/>
      <c r="E3" s="3" t="n"/>
      <c r="F3" s="3" t="n"/>
      <c r="G3" s="7">
        <f>F3*20*C3</f>
        <v/>
      </c>
      <c r="H3" s="3" t="n"/>
      <c r="I3" s="8" t="n"/>
    </row>
    <row r="4">
      <c r="A4" s="4" t="inlineStr">
        <is>
          <t>产能</t>
        </is>
      </c>
      <c r="B4" s="5" t="inlineStr">
        <is>
          <t>设备稼动率/产能余量/瓶颈工序/扩产响应</t>
        </is>
      </c>
      <c r="C4" s="6" t="n">
        <v>0.25</v>
      </c>
      <c r="D4" s="3" t="n"/>
      <c r="E4" s="3" t="n"/>
      <c r="F4" s="3" t="n"/>
      <c r="G4" s="7">
        <f>F4*20*C4</f>
        <v/>
      </c>
      <c r="H4" s="3" t="n"/>
      <c r="I4" s="8" t="n"/>
    </row>
    <row r="5">
      <c r="A5" s="4" t="inlineStr">
        <is>
          <t>交付准时率</t>
        </is>
      </c>
      <c r="B5" s="5" t="inlineStr">
        <is>
          <t>准时交付率/交期波动σ/急单履约/断料次数</t>
        </is>
      </c>
      <c r="C5" s="6" t="n">
        <v>0.25</v>
      </c>
      <c r="D5" s="3" t="n"/>
      <c r="E5" s="3" t="n"/>
      <c r="F5" s="3" t="n"/>
      <c r="G5" s="7">
        <f>F5*20*C5</f>
        <v/>
      </c>
      <c r="H5" s="3" t="n"/>
      <c r="I5" s="8" t="n"/>
    </row>
    <row r="6">
      <c r="A6" s="4" t="inlineStr">
        <is>
          <t>成本</t>
        </is>
      </c>
      <c r="B6" s="5" t="inlineStr">
        <is>
          <t>报价竞争力/TCO/年降达成/对账开票合规</t>
        </is>
      </c>
      <c r="C6" s="6" t="n">
        <v>0.2</v>
      </c>
      <c r="D6" s="3" t="n"/>
      <c r="E6" s="3" t="n"/>
      <c r="F6" s="3" t="n"/>
      <c r="G6" s="7">
        <f>F6*20*C6</f>
        <v/>
      </c>
      <c r="H6" s="3" t="n"/>
      <c r="I6" s="8" t="n"/>
    </row>
    <row r="7">
      <c r="A7" s="9" t="inlineStr">
        <is>
          <t>综合得分</t>
        </is>
      </c>
      <c r="G7" s="13">
        <f>SUM(G3:G6)</f>
        <v/>
      </c>
    </row>
    <row r="8">
      <c r="A8" s="9" t="inlineStr">
        <is>
          <t>等级</t>
        </is>
      </c>
      <c r="G8" s="11">
        <f>IF(G7&gt;=85,"A",IF(G7&gt;=70,"B",IF(G7&gt;=60,"C","D")))</f>
        <v/>
      </c>
    </row>
    <row r="9">
      <c r="A9" s="9" t="inlineStr">
        <is>
          <t>下期重点</t>
        </is>
      </c>
      <c r="B9" s="12" t="inlineStr">
        <is>
          <t>（据改进建议汇总）</t>
        </is>
      </c>
      <c r="G9" s="11" t="n"/>
    </row>
  </sheetData>
  <mergeCells count="1">
    <mergeCell ref="A1:I1"/>
  </mergeCells>
  <dataValidations count="1">
    <dataValidation sqref="F3:F6" showDropDown="0" showInputMessage="0" showErrorMessage="0" allowBlank="1" error="请输入 1-5 的整数评分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7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11" customWidth="1" min="10" max="10"/>
    <col width="10" customWidth="1" min="11" max="11"/>
    <col width="22" customWidth="1" min="12" max="12"/>
  </cols>
  <sheetData>
    <row r="1" ht="26" customHeight="1">
      <c r="A1" s="1" t="inlineStr">
        <is>
          <t>采购比价表（加权单价 = 含税单价 ÷ 质量系数）</t>
        </is>
      </c>
    </row>
    <row r="2">
      <c r="A2" s="2" t="inlineStr">
        <is>
          <t>物料</t>
        </is>
      </c>
      <c r="B2" s="2" t="inlineStr">
        <is>
          <t>供应商</t>
        </is>
      </c>
      <c r="C2" s="2" t="inlineStr">
        <is>
          <t>不含税单价</t>
        </is>
      </c>
      <c r="D2" s="2" t="inlineStr">
        <is>
          <t>税率</t>
        </is>
      </c>
      <c r="E2" s="2" t="inlineStr">
        <is>
          <t>含税单价(自动计算)</t>
        </is>
      </c>
      <c r="F2" s="2" t="inlineStr">
        <is>
          <t>MOQ</t>
        </is>
      </c>
      <c r="G2" s="2" t="inlineStr">
        <is>
          <t>交期(天)</t>
        </is>
      </c>
      <c r="H2" s="2" t="inlineStr">
        <is>
          <t>账期(天)</t>
        </is>
      </c>
      <c r="I2" s="2" t="inlineStr">
        <is>
          <t>质量系数</t>
        </is>
      </c>
      <c r="J2" s="2" t="inlineStr">
        <is>
          <t>加权单价</t>
        </is>
      </c>
      <c r="K2" s="2" t="inlineStr">
        <is>
          <t>综合排名</t>
        </is>
      </c>
      <c r="L2" s="2" t="inlineStr">
        <is>
          <t>备注</t>
        </is>
      </c>
    </row>
    <row r="3">
      <c r="A3" s="3" t="n"/>
      <c r="B3" s="3" t="n"/>
      <c r="C3" s="3" t="n"/>
      <c r="D3" s="3" t="n"/>
      <c r="E3" s="14">
        <f>C3*(1+D3)</f>
        <v/>
      </c>
      <c r="F3" s="3" t="n"/>
      <c r="G3" s="3" t="n"/>
      <c r="H3" s="3" t="n"/>
      <c r="I3" s="3" t="n"/>
      <c r="J3" s="14">
        <f>IF(E3="","",E3/I3)</f>
        <v/>
      </c>
      <c r="K3" s="3">
        <f>IF(J3="","",RANK(J3,$J$3:$J$52,1))</f>
        <v/>
      </c>
      <c r="L3" s="3" t="n"/>
    </row>
    <row r="4">
      <c r="A4" s="3" t="n"/>
      <c r="B4" s="3" t="n"/>
      <c r="C4" s="3" t="n"/>
      <c r="D4" s="3" t="n"/>
      <c r="E4" s="14">
        <f>C4*(1+D4)</f>
        <v/>
      </c>
      <c r="F4" s="3" t="n"/>
      <c r="G4" s="3" t="n"/>
      <c r="H4" s="3" t="n"/>
      <c r="I4" s="3" t="n"/>
      <c r="J4" s="14">
        <f>IF(E4="","",E4/I4)</f>
        <v/>
      </c>
      <c r="K4" s="3">
        <f>IF(J4="","",RANK(J4,$J$3:$J$52,1))</f>
        <v/>
      </c>
      <c r="L4" s="3" t="n"/>
    </row>
    <row r="5">
      <c r="A5" s="3" t="n"/>
      <c r="B5" s="3" t="n"/>
      <c r="C5" s="3" t="n"/>
      <c r="D5" s="3" t="n"/>
      <c r="E5" s="14">
        <f>C5*(1+D5)</f>
        <v/>
      </c>
      <c r="F5" s="3" t="n"/>
      <c r="G5" s="3" t="n"/>
      <c r="H5" s="3" t="n"/>
      <c r="I5" s="3" t="n"/>
      <c r="J5" s="14">
        <f>IF(E5="","",E5/I5)</f>
        <v/>
      </c>
      <c r="K5" s="3">
        <f>IF(J5="","",RANK(J5,$J$3:$J$52,1))</f>
        <v/>
      </c>
      <c r="L5" s="3" t="n"/>
    </row>
    <row r="6">
      <c r="A6" s="3" t="n"/>
      <c r="B6" s="3" t="n"/>
      <c r="C6" s="3" t="n"/>
      <c r="D6" s="3" t="n"/>
      <c r="E6" s="14">
        <f>C6*(1+D6)</f>
        <v/>
      </c>
      <c r="F6" s="3" t="n"/>
      <c r="G6" s="3" t="n"/>
      <c r="H6" s="3" t="n"/>
      <c r="I6" s="3" t="n"/>
      <c r="J6" s="14">
        <f>IF(E6="","",E6/I6)</f>
        <v/>
      </c>
      <c r="K6" s="3">
        <f>IF(J6="","",RANK(J6,$J$3:$J$52,1))</f>
        <v/>
      </c>
      <c r="L6" s="3" t="n"/>
    </row>
    <row r="7">
      <c r="A7" s="3" t="n"/>
      <c r="B7" s="3" t="n"/>
      <c r="C7" s="3" t="n"/>
      <c r="D7" s="3" t="n"/>
      <c r="E7" s="14">
        <f>C7*(1+D7)</f>
        <v/>
      </c>
      <c r="F7" s="3" t="n"/>
      <c r="G7" s="3" t="n"/>
      <c r="H7" s="3" t="n"/>
      <c r="I7" s="3" t="n"/>
      <c r="J7" s="14">
        <f>IF(E7="","",E7/I7)</f>
        <v/>
      </c>
      <c r="K7" s="3">
        <f>IF(J7="","",RANK(J7,$J$3:$J$52,1))</f>
        <v/>
      </c>
      <c r="L7" s="3" t="n"/>
    </row>
    <row r="8">
      <c r="A8" s="3" t="n"/>
      <c r="B8" s="3" t="n"/>
      <c r="C8" s="3" t="n"/>
      <c r="D8" s="3" t="n"/>
      <c r="E8" s="14">
        <f>C8*(1+D8)</f>
        <v/>
      </c>
      <c r="F8" s="3" t="n"/>
      <c r="G8" s="3" t="n"/>
      <c r="H8" s="3" t="n"/>
      <c r="I8" s="3" t="n"/>
      <c r="J8" s="14">
        <f>IF(E8="","",E8/I8)</f>
        <v/>
      </c>
      <c r="K8" s="3">
        <f>IF(J8="","",RANK(J8,$J$3:$J$52,1))</f>
        <v/>
      </c>
      <c r="L8" s="3" t="n"/>
    </row>
    <row r="9">
      <c r="A9" s="3" t="n"/>
      <c r="B9" s="3" t="n"/>
      <c r="C9" s="3" t="n"/>
      <c r="D9" s="3" t="n"/>
      <c r="E9" s="14">
        <f>C9*(1+D9)</f>
        <v/>
      </c>
      <c r="F9" s="3" t="n"/>
      <c r="G9" s="3" t="n"/>
      <c r="H9" s="3" t="n"/>
      <c r="I9" s="3" t="n"/>
      <c r="J9" s="14">
        <f>IF(E9="","",E9/I9)</f>
        <v/>
      </c>
      <c r="K9" s="3">
        <f>IF(J9="","",RANK(J9,$J$3:$J$52,1))</f>
        <v/>
      </c>
      <c r="L9" s="3" t="n"/>
    </row>
    <row r="10">
      <c r="A10" s="3" t="n"/>
      <c r="B10" s="3" t="n"/>
      <c r="C10" s="3" t="n"/>
      <c r="D10" s="3" t="n"/>
      <c r="E10" s="14">
        <f>C10*(1+D10)</f>
        <v/>
      </c>
      <c r="F10" s="3" t="n"/>
      <c r="G10" s="3" t="n"/>
      <c r="H10" s="3" t="n"/>
      <c r="I10" s="3" t="n"/>
      <c r="J10" s="14">
        <f>IF(E10="","",E10/I10)</f>
        <v/>
      </c>
      <c r="K10" s="3">
        <f>IF(J10="","",RANK(J10,$J$3:$J$52,1))</f>
        <v/>
      </c>
      <c r="L10" s="3" t="n"/>
    </row>
    <row r="11">
      <c r="A11" s="3" t="n"/>
      <c r="B11" s="3" t="n"/>
      <c r="C11" s="3" t="n"/>
      <c r="D11" s="3" t="n"/>
      <c r="E11" s="14">
        <f>C11*(1+D11)</f>
        <v/>
      </c>
      <c r="F11" s="3" t="n"/>
      <c r="G11" s="3" t="n"/>
      <c r="H11" s="3" t="n"/>
      <c r="I11" s="3" t="n"/>
      <c r="J11" s="14">
        <f>IF(E11="","",E11/I11)</f>
        <v/>
      </c>
      <c r="K11" s="3">
        <f>IF(J11="","",RANK(J11,$J$3:$J$52,1))</f>
        <v/>
      </c>
      <c r="L11" s="3" t="n"/>
    </row>
    <row r="12">
      <c r="A12" s="3" t="n"/>
      <c r="B12" s="3" t="n"/>
      <c r="C12" s="3" t="n"/>
      <c r="D12" s="3" t="n"/>
      <c r="E12" s="14">
        <f>C12*(1+D12)</f>
        <v/>
      </c>
      <c r="F12" s="3" t="n"/>
      <c r="G12" s="3" t="n"/>
      <c r="H12" s="3" t="n"/>
      <c r="I12" s="3" t="n"/>
      <c r="J12" s="14">
        <f>IF(E12="","",E12/I12)</f>
        <v/>
      </c>
      <c r="K12" s="3">
        <f>IF(J12="","",RANK(J12,$J$3:$J$52,1))</f>
        <v/>
      </c>
      <c r="L12" s="3" t="n"/>
    </row>
    <row r="13">
      <c r="A13" s="3" t="n"/>
      <c r="B13" s="3" t="n"/>
      <c r="C13" s="3" t="n"/>
      <c r="D13" s="3" t="n"/>
      <c r="E13" s="14">
        <f>C13*(1+D13)</f>
        <v/>
      </c>
      <c r="F13" s="3" t="n"/>
      <c r="G13" s="3" t="n"/>
      <c r="H13" s="3" t="n"/>
      <c r="I13" s="3" t="n"/>
      <c r="J13" s="14">
        <f>IF(E13="","",E13/I13)</f>
        <v/>
      </c>
      <c r="K13" s="3">
        <f>IF(J13="","",RANK(J13,$J$3:$J$52,1))</f>
        <v/>
      </c>
      <c r="L13" s="3" t="n"/>
    </row>
    <row r="14">
      <c r="A14" s="3" t="n"/>
      <c r="B14" s="3" t="n"/>
      <c r="C14" s="3" t="n"/>
      <c r="D14" s="3" t="n"/>
      <c r="E14" s="14">
        <f>C14*(1+D14)</f>
        <v/>
      </c>
      <c r="F14" s="3" t="n"/>
      <c r="G14" s="3" t="n"/>
      <c r="H14" s="3" t="n"/>
      <c r="I14" s="3" t="n"/>
      <c r="J14" s="14">
        <f>IF(E14="","",E14/I14)</f>
        <v/>
      </c>
      <c r="K14" s="3">
        <f>IF(J14="","",RANK(J14,$J$3:$J$52,1))</f>
        <v/>
      </c>
      <c r="L14" s="3" t="n"/>
    </row>
    <row r="15">
      <c r="A15" s="3" t="n"/>
      <c r="B15" s="3" t="n"/>
      <c r="C15" s="3" t="n"/>
      <c r="D15" s="3" t="n"/>
      <c r="E15" s="14">
        <f>C15*(1+D15)</f>
        <v/>
      </c>
      <c r="F15" s="3" t="n"/>
      <c r="G15" s="3" t="n"/>
      <c r="H15" s="3" t="n"/>
      <c r="I15" s="3" t="n"/>
      <c r="J15" s="14">
        <f>IF(E15="","",E15/I15)</f>
        <v/>
      </c>
      <c r="K15" s="3">
        <f>IF(J15="","",RANK(J15,$J$3:$J$52,1))</f>
        <v/>
      </c>
      <c r="L15" s="3" t="n"/>
    </row>
    <row r="16">
      <c r="A16" s="3" t="n"/>
      <c r="B16" s="3" t="n"/>
      <c r="C16" s="3" t="n"/>
      <c r="D16" s="3" t="n"/>
      <c r="E16" s="14">
        <f>C16*(1+D16)</f>
        <v/>
      </c>
      <c r="F16" s="3" t="n"/>
      <c r="G16" s="3" t="n"/>
      <c r="H16" s="3" t="n"/>
      <c r="I16" s="3" t="n"/>
      <c r="J16" s="14">
        <f>IF(E16="","",E16/I16)</f>
        <v/>
      </c>
      <c r="K16" s="3">
        <f>IF(J16="","",RANK(J16,$J$3:$J$52,1))</f>
        <v/>
      </c>
      <c r="L16" s="3" t="n"/>
    </row>
    <row r="17">
      <c r="A17" s="3" t="n"/>
      <c r="B17" s="3" t="n"/>
      <c r="C17" s="3" t="n"/>
      <c r="D17" s="3" t="n"/>
      <c r="E17" s="14">
        <f>C17*(1+D17)</f>
        <v/>
      </c>
      <c r="F17" s="3" t="n"/>
      <c r="G17" s="3" t="n"/>
      <c r="H17" s="3" t="n"/>
      <c r="I17" s="3" t="n"/>
      <c r="J17" s="14">
        <f>IF(E17="","",E17/I17)</f>
        <v/>
      </c>
      <c r="K17" s="3">
        <f>IF(J17="","",RANK(J17,$J$3:$J$52,1))</f>
        <v/>
      </c>
      <c r="L17" s="3" t="n"/>
    </row>
    <row r="18">
      <c r="A18" s="3" t="n"/>
      <c r="B18" s="3" t="n"/>
      <c r="C18" s="3" t="n"/>
      <c r="D18" s="3" t="n"/>
      <c r="E18" s="14">
        <f>C18*(1+D18)</f>
        <v/>
      </c>
      <c r="F18" s="3" t="n"/>
      <c r="G18" s="3" t="n"/>
      <c r="H18" s="3" t="n"/>
      <c r="I18" s="3" t="n"/>
      <c r="J18" s="14">
        <f>IF(E18="","",E18/I18)</f>
        <v/>
      </c>
      <c r="K18" s="3">
        <f>IF(J18="","",RANK(J18,$J$3:$J$52,1))</f>
        <v/>
      </c>
      <c r="L18" s="3" t="n"/>
    </row>
    <row r="19">
      <c r="A19" s="3" t="n"/>
      <c r="B19" s="3" t="n"/>
      <c r="C19" s="3" t="n"/>
      <c r="D19" s="3" t="n"/>
      <c r="E19" s="14">
        <f>C19*(1+D19)</f>
        <v/>
      </c>
      <c r="F19" s="3" t="n"/>
      <c r="G19" s="3" t="n"/>
      <c r="H19" s="3" t="n"/>
      <c r="I19" s="3" t="n"/>
      <c r="J19" s="14">
        <f>IF(E19="","",E19/I19)</f>
        <v/>
      </c>
      <c r="K19" s="3">
        <f>IF(J19="","",RANK(J19,$J$3:$J$52,1))</f>
        <v/>
      </c>
      <c r="L19" s="3" t="n"/>
    </row>
    <row r="20">
      <c r="A20" s="3" t="n"/>
      <c r="B20" s="3" t="n"/>
      <c r="C20" s="3" t="n"/>
      <c r="D20" s="3" t="n"/>
      <c r="E20" s="14">
        <f>C20*(1+D20)</f>
        <v/>
      </c>
      <c r="F20" s="3" t="n"/>
      <c r="G20" s="3" t="n"/>
      <c r="H20" s="3" t="n"/>
      <c r="I20" s="3" t="n"/>
      <c r="J20" s="14">
        <f>IF(E20="","",E20/I20)</f>
        <v/>
      </c>
      <c r="K20" s="3">
        <f>IF(J20="","",RANK(J20,$J$3:$J$52,1))</f>
        <v/>
      </c>
      <c r="L20" s="3" t="n"/>
    </row>
    <row r="21">
      <c r="A21" s="3" t="n"/>
      <c r="B21" s="3" t="n"/>
      <c r="C21" s="3" t="n"/>
      <c r="D21" s="3" t="n"/>
      <c r="E21" s="14">
        <f>C21*(1+D21)</f>
        <v/>
      </c>
      <c r="F21" s="3" t="n"/>
      <c r="G21" s="3" t="n"/>
      <c r="H21" s="3" t="n"/>
      <c r="I21" s="3" t="n"/>
      <c r="J21" s="14">
        <f>IF(E21="","",E21/I21)</f>
        <v/>
      </c>
      <c r="K21" s="3">
        <f>IF(J21="","",RANK(J21,$J$3:$J$52,1))</f>
        <v/>
      </c>
      <c r="L21" s="3" t="n"/>
    </row>
    <row r="22">
      <c r="A22" s="3" t="n"/>
      <c r="B22" s="3" t="n"/>
      <c r="C22" s="3" t="n"/>
      <c r="D22" s="3" t="n"/>
      <c r="E22" s="14">
        <f>C22*(1+D22)</f>
        <v/>
      </c>
      <c r="F22" s="3" t="n"/>
      <c r="G22" s="3" t="n"/>
      <c r="H22" s="3" t="n"/>
      <c r="I22" s="3" t="n"/>
      <c r="J22" s="14">
        <f>IF(E22="","",E22/I22)</f>
        <v/>
      </c>
      <c r="K22" s="3">
        <f>IF(J22="","",RANK(J22,$J$3:$J$52,1))</f>
        <v/>
      </c>
      <c r="L22" s="3" t="n"/>
    </row>
    <row r="23">
      <c r="E23">
        <f>C23*(1+D23)</f>
        <v/>
      </c>
      <c r="J23">
        <f>IF(E23="","",E23/I23)</f>
        <v/>
      </c>
      <c r="K23">
        <f>IF(J23="","",RANK(J23,$J$3:$J$52,1))</f>
        <v/>
      </c>
    </row>
    <row r="24">
      <c r="E24">
        <f>C24*(1+D24)</f>
        <v/>
      </c>
      <c r="J24">
        <f>IF(E24="","",E24/I24)</f>
        <v/>
      </c>
      <c r="K24">
        <f>IF(J24="","",RANK(J24,$J$3:$J$52,1))</f>
        <v/>
      </c>
    </row>
    <row r="25">
      <c r="E25">
        <f>C25*(1+D25)</f>
        <v/>
      </c>
      <c r="J25">
        <f>IF(E25="","",E25/I25)</f>
        <v/>
      </c>
      <c r="K25">
        <f>IF(J25="","",RANK(J25,$J$3:$J$52,1))</f>
        <v/>
      </c>
    </row>
    <row r="26">
      <c r="E26">
        <f>C26*(1+D26)</f>
        <v/>
      </c>
      <c r="J26">
        <f>IF(E26="","",E26/I26)</f>
        <v/>
      </c>
      <c r="K26">
        <f>IF(J26="","",RANK(J26,$J$3:$J$52,1))</f>
        <v/>
      </c>
    </row>
    <row r="27">
      <c r="E27">
        <f>C27*(1+D27)</f>
        <v/>
      </c>
      <c r="J27">
        <f>IF(E27="","",E27/I27)</f>
        <v/>
      </c>
      <c r="K27">
        <f>IF(J27="","",RANK(J27,$J$3:$J$52,1))</f>
        <v/>
      </c>
    </row>
    <row r="28">
      <c r="E28">
        <f>C28*(1+D28)</f>
        <v/>
      </c>
      <c r="J28">
        <f>IF(E28="","",E28/I28)</f>
        <v/>
      </c>
      <c r="K28">
        <f>IF(J28="","",RANK(J28,$J$3:$J$52,1))</f>
        <v/>
      </c>
    </row>
    <row r="29">
      <c r="E29">
        <f>C29*(1+D29)</f>
        <v/>
      </c>
      <c r="J29">
        <f>IF(E29="","",E29/I29)</f>
        <v/>
      </c>
      <c r="K29">
        <f>IF(J29="","",RANK(J29,$J$3:$J$52,1))</f>
        <v/>
      </c>
    </row>
    <row r="30">
      <c r="E30">
        <f>C30*(1+D30)</f>
        <v/>
      </c>
      <c r="J30">
        <f>IF(E30="","",E30/I30)</f>
        <v/>
      </c>
      <c r="K30">
        <f>IF(J30="","",RANK(J30,$J$3:$J$52,1))</f>
        <v/>
      </c>
    </row>
    <row r="31">
      <c r="E31">
        <f>C31*(1+D31)</f>
        <v/>
      </c>
      <c r="J31">
        <f>IF(E31="","",E31/I31)</f>
        <v/>
      </c>
      <c r="K31">
        <f>IF(J31="","",RANK(J31,$J$3:$J$52,1))</f>
        <v/>
      </c>
    </row>
    <row r="32">
      <c r="E32">
        <f>C32*(1+D32)</f>
        <v/>
      </c>
      <c r="J32">
        <f>IF(E32="","",E32/I32)</f>
        <v/>
      </c>
      <c r="K32">
        <f>IF(J32="","",RANK(J32,$J$3:$J$52,1))</f>
        <v/>
      </c>
    </row>
    <row r="33">
      <c r="E33">
        <f>C33*(1+D33)</f>
        <v/>
      </c>
      <c r="J33">
        <f>IF(E33="","",E33/I33)</f>
        <v/>
      </c>
      <c r="K33">
        <f>IF(J33="","",RANK(J33,$J$3:$J$52,1))</f>
        <v/>
      </c>
    </row>
    <row r="34">
      <c r="E34">
        <f>C34*(1+D34)</f>
        <v/>
      </c>
      <c r="J34">
        <f>IF(E34="","",E34/I34)</f>
        <v/>
      </c>
      <c r="K34">
        <f>IF(J34="","",RANK(J34,$J$3:$J$52,1))</f>
        <v/>
      </c>
    </row>
    <row r="35">
      <c r="E35">
        <f>C35*(1+D35)</f>
        <v/>
      </c>
      <c r="J35">
        <f>IF(E35="","",E35/I35)</f>
        <v/>
      </c>
      <c r="K35">
        <f>IF(J35="","",RANK(J35,$J$3:$J$52,1))</f>
        <v/>
      </c>
    </row>
    <row r="36">
      <c r="E36">
        <f>C36*(1+D36)</f>
        <v/>
      </c>
      <c r="J36">
        <f>IF(E36="","",E36/I36)</f>
        <v/>
      </c>
      <c r="K36">
        <f>IF(J36="","",RANK(J36,$J$3:$J$52,1))</f>
        <v/>
      </c>
    </row>
    <row r="37">
      <c r="E37">
        <f>C37*(1+D37)</f>
        <v/>
      </c>
      <c r="J37">
        <f>IF(E37="","",E37/I37)</f>
        <v/>
      </c>
      <c r="K37">
        <f>IF(J37="","",RANK(J37,$J$3:$J$52,1))</f>
        <v/>
      </c>
    </row>
    <row r="38">
      <c r="E38">
        <f>C38*(1+D38)</f>
        <v/>
      </c>
      <c r="J38">
        <f>IF(E38="","",E38/I38)</f>
        <v/>
      </c>
      <c r="K38">
        <f>IF(J38="","",RANK(J38,$J$3:$J$52,1))</f>
        <v/>
      </c>
    </row>
    <row r="39">
      <c r="E39">
        <f>C39*(1+D39)</f>
        <v/>
      </c>
      <c r="J39">
        <f>IF(E39="","",E39/I39)</f>
        <v/>
      </c>
      <c r="K39">
        <f>IF(J39="","",RANK(J39,$J$3:$J$52,1))</f>
        <v/>
      </c>
    </row>
    <row r="40">
      <c r="E40">
        <f>C40*(1+D40)</f>
        <v/>
      </c>
      <c r="J40">
        <f>IF(E40="","",E40/I40)</f>
        <v/>
      </c>
      <c r="K40">
        <f>IF(J40="","",RANK(J40,$J$3:$J$52,1))</f>
        <v/>
      </c>
    </row>
    <row r="41">
      <c r="E41">
        <f>C41*(1+D41)</f>
        <v/>
      </c>
      <c r="J41">
        <f>IF(E41="","",E41/I41)</f>
        <v/>
      </c>
      <c r="K41">
        <f>IF(J41="","",RANK(J41,$J$3:$J$52,1))</f>
        <v/>
      </c>
    </row>
    <row r="42">
      <c r="E42">
        <f>C42*(1+D42)</f>
        <v/>
      </c>
      <c r="J42">
        <f>IF(E42="","",E42/I42)</f>
        <v/>
      </c>
      <c r="K42">
        <f>IF(J42="","",RANK(J42,$J$3:$J$52,1))</f>
        <v/>
      </c>
    </row>
    <row r="43">
      <c r="E43">
        <f>C43*(1+D43)</f>
        <v/>
      </c>
      <c r="J43">
        <f>IF(E43="","",E43/I43)</f>
        <v/>
      </c>
      <c r="K43">
        <f>IF(J43="","",RANK(J43,$J$3:$J$52,1))</f>
        <v/>
      </c>
    </row>
    <row r="44">
      <c r="E44">
        <f>C44*(1+D44)</f>
        <v/>
      </c>
      <c r="J44">
        <f>IF(E44="","",E44/I44)</f>
        <v/>
      </c>
      <c r="K44">
        <f>IF(J44="","",RANK(J44,$J$3:$J$52,1))</f>
        <v/>
      </c>
    </row>
    <row r="45">
      <c r="E45">
        <f>C45*(1+D45)</f>
        <v/>
      </c>
      <c r="J45">
        <f>IF(E45="","",E45/I45)</f>
        <v/>
      </c>
      <c r="K45">
        <f>IF(J45="","",RANK(J45,$J$3:$J$52,1))</f>
        <v/>
      </c>
    </row>
    <row r="46">
      <c r="E46">
        <f>C46*(1+D46)</f>
        <v/>
      </c>
      <c r="J46">
        <f>IF(E46="","",E46/I46)</f>
        <v/>
      </c>
      <c r="K46">
        <f>IF(J46="","",RANK(J46,$J$3:$J$52,1))</f>
        <v/>
      </c>
    </row>
    <row r="47">
      <c r="E47">
        <f>C47*(1+D47)</f>
        <v/>
      </c>
      <c r="J47">
        <f>IF(E47="","",E47/I47)</f>
        <v/>
      </c>
      <c r="K47">
        <f>IF(J47="","",RANK(J47,$J$3:$J$52,1))</f>
        <v/>
      </c>
    </row>
    <row r="48">
      <c r="E48">
        <f>C48*(1+D48)</f>
        <v/>
      </c>
      <c r="J48">
        <f>IF(E48="","",E48/I48)</f>
        <v/>
      </c>
      <c r="K48">
        <f>IF(J48="","",RANK(J48,$J$3:$J$52,1))</f>
        <v/>
      </c>
    </row>
    <row r="49">
      <c r="E49">
        <f>C49*(1+D49)</f>
        <v/>
      </c>
      <c r="J49">
        <f>IF(E49="","",E49/I49)</f>
        <v/>
      </c>
      <c r="K49">
        <f>IF(J49="","",RANK(J49,$J$3:$J$52,1))</f>
        <v/>
      </c>
    </row>
    <row r="50">
      <c r="E50">
        <f>C50*(1+D50)</f>
        <v/>
      </c>
      <c r="J50">
        <f>IF(E50="","",E50/I50)</f>
        <v/>
      </c>
      <c r="K50">
        <f>IF(J50="","",RANK(J50,$J$3:$J$52,1))</f>
        <v/>
      </c>
    </row>
    <row r="51">
      <c r="E51">
        <f>C51*(1+D51)</f>
        <v/>
      </c>
      <c r="J51">
        <f>IF(E51="","",E51/I51)</f>
        <v/>
      </c>
      <c r="K51">
        <f>IF(J51="","",RANK(J51,$J$3:$J$52,1))</f>
        <v/>
      </c>
    </row>
    <row r="52">
      <c r="E52">
        <f>C52*(1+D52)</f>
        <v/>
      </c>
      <c r="J52">
        <f>IF(E52="","",E52/I52)</f>
        <v/>
      </c>
      <c r="K52">
        <f>IF(J52="","",RANK(J52,$J$3:$J$52,1))</f>
        <v/>
      </c>
    </row>
  </sheetData>
  <mergeCells count="1">
    <mergeCell ref="A1:L1"/>
  </mergeCells>
  <dataValidations count="2">
    <dataValidation sqref="D3:D52" showDropDown="0" showInputMessage="0" showErrorMessage="0" allowBlank="1" type="decimal" operator="greaterThanOrEqual">
      <formula1>0</formula1>
    </dataValidation>
    <dataValidation sqref="I3:I52" showDropDown="0" showInputMessage="0" showErrorMessage="0" allowBlank="1" type="decimal" operator="between">
      <formula1>0.5</formula1>
      <formula2>1.2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14" customWidth="1" min="4" max="4"/>
    <col width="10" customWidth="1" min="5" max="5"/>
    <col width="34" customWidth="1" min="6" max="6"/>
    <col width="12" customWidth="1" min="7" max="7"/>
  </cols>
  <sheetData>
    <row r="1" ht="26" customHeight="1">
      <c r="A1" s="1" t="inlineStr">
        <is>
          <t>供应商公开风险核查表</t>
        </is>
      </c>
      <c r="B1" t="inlineStr">
        <is>
          <t>（请填写供应商全称）</t>
        </is>
      </c>
    </row>
    <row r="2">
      <c r="A2" s="2" t="inlineStr">
        <is>
          <t>核查项</t>
        </is>
      </c>
      <c r="B2" s="2" t="inlineStr">
        <is>
          <t>信息来源</t>
        </is>
      </c>
      <c r="C2" s="2" t="inlineStr">
        <is>
          <t>查询关键词</t>
        </is>
      </c>
      <c r="D2" s="2" t="inlineStr">
        <is>
          <t>核查结果(无/有)</t>
        </is>
      </c>
      <c r="E2" s="2" t="inlineStr">
        <is>
          <t>风险等级</t>
        </is>
      </c>
      <c r="F2" s="2" t="inlineStr">
        <is>
          <t>详情/链接</t>
        </is>
      </c>
      <c r="G2" s="2" t="inlineStr">
        <is>
          <t>核查日期</t>
        </is>
      </c>
    </row>
    <row r="3">
      <c r="A3" s="4" t="inlineStr">
        <is>
          <t>失信被执行人</t>
        </is>
      </c>
      <c r="B3" s="5" t="inlineStr">
        <is>
          <t>中国执行信息公开网</t>
        </is>
      </c>
      <c r="C3" s="5">
        <f>$B$1&amp;" 失信被执行人"</f>
        <v/>
      </c>
      <c r="D3" s="3" t="n"/>
      <c r="E3" s="3" t="n"/>
      <c r="F3" s="8" t="n"/>
      <c r="G3" s="3" t="n"/>
    </row>
    <row r="4">
      <c r="A4" s="4" t="inlineStr">
        <is>
          <t>限制消费令</t>
        </is>
      </c>
      <c r="B4" s="5" t="inlineStr">
        <is>
          <t>中国执行信息公开网</t>
        </is>
      </c>
      <c r="C4" s="5">
        <f>$B$1&amp;" 限制消费令"</f>
        <v/>
      </c>
      <c r="D4" s="3" t="n"/>
      <c r="E4" s="3" t="n"/>
      <c r="F4" s="8" t="n"/>
      <c r="G4" s="3" t="n"/>
    </row>
    <row r="5">
      <c r="A5" s="4" t="inlineStr">
        <is>
          <t>经营异常名录</t>
        </is>
      </c>
      <c r="B5" s="5" t="inlineStr">
        <is>
          <t>国家企业信用信息公示系统</t>
        </is>
      </c>
      <c r="C5" s="5">
        <f>$B$1&amp;" 经营异常名录"</f>
        <v/>
      </c>
      <c r="D5" s="3" t="n"/>
      <c r="E5" s="3" t="n"/>
      <c r="F5" s="8" t="n"/>
      <c r="G5" s="3" t="n"/>
    </row>
    <row r="6">
      <c r="A6" s="4" t="inlineStr">
        <is>
          <t>行政处罚</t>
        </is>
      </c>
      <c r="B6" s="5" t="inlineStr">
        <is>
          <t>信用中国 / 市场监管</t>
        </is>
      </c>
      <c r="C6" s="5">
        <f>$B$1&amp;" 行政处罚"</f>
        <v/>
      </c>
      <c r="D6" s="3" t="n"/>
      <c r="E6" s="3" t="n"/>
      <c r="F6" s="8" t="n"/>
      <c r="G6" s="3" t="n"/>
    </row>
    <row r="7">
      <c r="A7" s="4" t="inlineStr">
        <is>
          <t>股权冻结/司法冻结</t>
        </is>
      </c>
      <c r="B7" s="5" t="inlineStr">
        <is>
          <t>企查查/天眼查/裁判文书网</t>
        </is>
      </c>
      <c r="C7" s="5">
        <f>$B$1&amp;" 股权冻结 司法冻结"</f>
        <v/>
      </c>
      <c r="D7" s="3" t="n"/>
      <c r="E7" s="3" t="n"/>
      <c r="F7" s="8" t="n"/>
      <c r="G7" s="3" t="n"/>
    </row>
    <row r="8">
      <c r="A8" s="4" t="inlineStr">
        <is>
          <t>裁判文书(买卖纠纷)</t>
        </is>
      </c>
      <c r="B8" s="5" t="inlineStr">
        <is>
          <t>中国裁判文书网</t>
        </is>
      </c>
      <c r="C8" s="5">
        <f>$B$1&amp;" 裁判文书 买卖合同纠纷"</f>
        <v/>
      </c>
      <c r="D8" s="3" t="n"/>
      <c r="E8" s="3" t="n"/>
      <c r="F8" s="8" t="n"/>
      <c r="G8" s="3" t="n"/>
    </row>
    <row r="9">
      <c r="A9" s="4" t="inlineStr">
        <is>
          <t>破产重整/清算</t>
        </is>
      </c>
      <c r="B9" s="5" t="inlineStr">
        <is>
          <t>全国企业破产重整案件信息网</t>
        </is>
      </c>
      <c r="C9" s="5">
        <f>$B$1&amp;" 破产重整 破产清算"</f>
        <v/>
      </c>
      <c r="D9" s="3" t="n"/>
      <c r="E9" s="3" t="n"/>
      <c r="F9" s="8" t="n"/>
      <c r="G9" s="3" t="n"/>
    </row>
    <row r="10">
      <c r="A10" s="4" t="inlineStr">
        <is>
          <t>环保/安全生产处罚</t>
        </is>
      </c>
      <c r="B10" s="5" t="inlineStr">
        <is>
          <t>信用中国/生态环境局</t>
        </is>
      </c>
      <c r="C10" s="5">
        <f>$B$1&amp;" 环保处罚 安全生产处罚"</f>
        <v/>
      </c>
      <c r="D10" s="3" t="n"/>
      <c r="E10" s="3" t="n"/>
      <c r="F10" s="8" t="n"/>
      <c r="G10" s="3" t="n"/>
    </row>
    <row r="11">
      <c r="A11" s="4" t="inlineStr">
        <is>
          <t>欠税公告</t>
        </is>
      </c>
      <c r="B11" s="5" t="inlineStr">
        <is>
          <t>国家税务总局</t>
        </is>
      </c>
      <c r="C11" s="5">
        <f>$B$1&amp;" 欠税公告"</f>
        <v/>
      </c>
      <c r="D11" s="3" t="n"/>
      <c r="E11" s="3" t="n"/>
      <c r="F11" s="8" t="n"/>
      <c r="G11" s="3" t="n"/>
    </row>
    <row r="12">
      <c r="A12" s="4" t="inlineStr">
        <is>
          <t>劳动仲裁/社保欠缴</t>
        </is>
      </c>
      <c r="B12" s="5" t="inlineStr">
        <is>
          <t>裁判文书网/人社局</t>
        </is>
      </c>
      <c r="C12" s="5">
        <f>$B$1&amp;" 劳动仲裁 社保欠缴"</f>
        <v/>
      </c>
      <c r="D12" s="3" t="n"/>
      <c r="E12" s="3" t="n"/>
      <c r="F12" s="8" t="n"/>
      <c r="G12" s="3" t="n"/>
    </row>
    <row r="13">
      <c r="A13" s="4" t="inlineStr">
        <is>
          <t>招投标黑名单</t>
        </is>
      </c>
      <c r="B13" s="5" t="inlineStr">
        <is>
          <t>信用中国/公共资源交易</t>
        </is>
      </c>
      <c r="C13" s="5">
        <f>$B$1&amp;" 招投标 黑名单"</f>
        <v/>
      </c>
      <c r="D13" s="3" t="n"/>
      <c r="E13" s="3" t="n"/>
      <c r="F13" s="8" t="n"/>
      <c r="G13" s="3" t="n"/>
    </row>
    <row r="14">
      <c r="A14" s="4" t="inlineStr">
        <is>
          <t>重大负面舆情</t>
        </is>
      </c>
      <c r="B14" s="5" t="inlineStr">
        <is>
          <t>综合搜索</t>
        </is>
      </c>
      <c r="C14" s="5">
        <f>$B$1&amp;" 负面舆情 跑路 停工"</f>
        <v/>
      </c>
      <c r="D14" s="3" t="n"/>
      <c r="E14" s="3" t="n"/>
      <c r="F14" s="8" t="n"/>
      <c r="G14" s="3" t="n"/>
    </row>
  </sheetData>
  <conditionalFormatting sqref="E3:E14">
    <cfRule type="cellIs" priority="1" operator="equal" dxfId="0">
      <formula>"高"</formula>
    </cfRule>
    <cfRule type="cellIs" priority="2" operator="equal" dxfId="1">
      <formula>"中"</formula>
    </cfRule>
    <cfRule type="cellIs" priority="3" operator="equal" dxfId="2">
      <formula>"低"</formula>
    </cfRule>
    <cfRule type="cellIs" priority="4" operator="equal" dxfId="3">
      <formula>"无"</formula>
    </cfRule>
  </conditionalFormatting>
  <dataValidations count="2">
    <dataValidation sqref="D3:D14" showDropDown="0" showInputMessage="0" showErrorMessage="0" allowBlank="1" type="list">
      <formula1>"无,有"</formula1>
    </dataValidation>
    <dataValidation sqref="E3:E14" showDropDown="0" showInputMessage="0" showErrorMessage="0" allowBlank="1" type="list">
      <formula1>"无,低,中,高"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2026-09-19T12:27:28Z</dcterms:created>
  <dcterms:modified xsi:type="dcterms:W3CDTF">2026-09-19T12:40:43Z</dcterms:modified>
</cp:coreProperties>
</file>