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风险监控台账" sheetId="1" state="visible" r:id="rId1"/>
    <sheet name="风险汇总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666666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0" fillId="4" borderId="1" pivotButton="0" quotePrefix="0" xfId="0"/>
    <xf numFmtId="0" fontId="0" fillId="3" borderId="1" pivotButton="0" quotePrefix="0" xfId="0"/>
    <xf numFmtId="1" fontId="0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164" fontId="0" fillId="3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4" customWidth="1" min="4" max="4"/>
    <col width="10" customWidth="1" min="5" max="5"/>
    <col width="22" customWidth="1" min="6" max="6"/>
    <col width="10" customWidth="1" min="7" max="7"/>
    <col width="10" customWidth="1" min="8" max="8"/>
    <col width="13" customWidth="1" min="9" max="9"/>
    <col width="14" customWidth="1" min="10" max="10"/>
  </cols>
  <sheetData>
    <row r="1">
      <c r="A1" s="1" t="inlineStr">
        <is>
          <t>供应商持续风险监控台账</t>
        </is>
      </c>
    </row>
    <row r="2">
      <c r="A2" s="2" t="inlineStr">
        <is>
          <t>监控项共12项（失信/限高/经营异常/行政处罚/股权冻结/裁判文书/破产/环保安监/欠税/劳动仲裁/招投标黑名单/舆情），按供应商×监控项逐行登记</t>
        </is>
      </c>
    </row>
    <row r="4">
      <c r="A4" s="3" t="inlineStr">
        <is>
          <t>供应商</t>
        </is>
      </c>
      <c r="B4" s="3" t="inlineStr">
        <is>
          <t>统一信用代码</t>
        </is>
      </c>
      <c r="C4" s="3" t="inlineStr">
        <is>
          <t>监控项</t>
        </is>
      </c>
      <c r="D4" s="3" t="inlineStr">
        <is>
          <t>最近核查日期</t>
        </is>
      </c>
      <c r="E4" s="3" t="inlineStr">
        <is>
          <t>核查结果</t>
        </is>
      </c>
      <c r="F4" s="3" t="inlineStr">
        <is>
          <t>信息来源</t>
        </is>
      </c>
      <c r="G4" s="3" t="inlineStr">
        <is>
          <t>风险等级</t>
        </is>
      </c>
      <c r="H4" s="3" t="inlineStr">
        <is>
          <t>距今天数</t>
        </is>
      </c>
      <c r="I4" s="3" t="inlineStr">
        <is>
          <t>需重查(&gt;90天)</t>
        </is>
      </c>
      <c r="J4" s="3" t="inlineStr">
        <is>
          <t>下次核查日期</t>
        </is>
      </c>
    </row>
    <row r="5">
      <c r="A5" s="4" t="n"/>
      <c r="B5" s="4" t="n"/>
      <c r="C5" s="4" t="n"/>
      <c r="D5" s="5" t="n"/>
      <c r="E5" s="4" t="n"/>
      <c r="F5" s="4" t="n"/>
      <c r="G5" s="6">
        <f>IF(E5="","",E5)</f>
        <v/>
      </c>
      <c r="H5" s="7">
        <f>IF(D5="","",TODAY()-D5)</f>
        <v/>
      </c>
      <c r="I5" s="8">
        <f>IF(H5="","",IF(H5&gt;90,"是","否"))</f>
        <v/>
      </c>
      <c r="J5" s="9">
        <f>IF(D5="","",D5+90)</f>
        <v/>
      </c>
    </row>
    <row r="6">
      <c r="A6" s="4" t="n"/>
      <c r="B6" s="4" t="n"/>
      <c r="C6" s="4" t="n"/>
      <c r="D6" s="5" t="n"/>
      <c r="E6" s="4" t="n"/>
      <c r="F6" s="4" t="n"/>
      <c r="G6" s="6">
        <f>IF(E6="","",E6)</f>
        <v/>
      </c>
      <c r="H6" s="7">
        <f>IF(D6="","",TODAY()-D6)</f>
        <v/>
      </c>
      <c r="I6" s="8">
        <f>IF(H6="","",IF(H6&gt;90,"是","否"))</f>
        <v/>
      </c>
      <c r="J6" s="9">
        <f>IF(D6="","",D6+90)</f>
        <v/>
      </c>
    </row>
    <row r="7">
      <c r="A7" s="4" t="n"/>
      <c r="B7" s="4" t="n"/>
      <c r="C7" s="4" t="n"/>
      <c r="D7" s="5" t="n"/>
      <c r="E7" s="4" t="n"/>
      <c r="F7" s="4" t="n"/>
      <c r="G7" s="6">
        <f>IF(E7="","",E7)</f>
        <v/>
      </c>
      <c r="H7" s="7">
        <f>IF(D7="","",TODAY()-D7)</f>
        <v/>
      </c>
      <c r="I7" s="8">
        <f>IF(H7="","",IF(H7&gt;90,"是","否"))</f>
        <v/>
      </c>
      <c r="J7" s="9">
        <f>IF(D7="","",D7+90)</f>
        <v/>
      </c>
    </row>
    <row r="8">
      <c r="A8" s="4" t="n"/>
      <c r="B8" s="4" t="n"/>
      <c r="C8" s="4" t="n"/>
      <c r="D8" s="5" t="n"/>
      <c r="E8" s="4" t="n"/>
      <c r="F8" s="4" t="n"/>
      <c r="G8" s="6">
        <f>IF(E8="","",E8)</f>
        <v/>
      </c>
      <c r="H8" s="7">
        <f>IF(D8="","",TODAY()-D8)</f>
        <v/>
      </c>
      <c r="I8" s="8">
        <f>IF(H8="","",IF(H8&gt;90,"是","否"))</f>
        <v/>
      </c>
      <c r="J8" s="9">
        <f>IF(D8="","",D8+90)</f>
        <v/>
      </c>
    </row>
    <row r="9">
      <c r="A9" s="4" t="n"/>
      <c r="B9" s="4" t="n"/>
      <c r="C9" s="4" t="n"/>
      <c r="D9" s="5" t="n"/>
      <c r="E9" s="4" t="n"/>
      <c r="F9" s="4" t="n"/>
      <c r="G9" s="6">
        <f>IF(E9="","",E9)</f>
        <v/>
      </c>
      <c r="H9" s="7">
        <f>IF(D9="","",TODAY()-D9)</f>
        <v/>
      </c>
      <c r="I9" s="8">
        <f>IF(H9="","",IF(H9&gt;90,"是","否"))</f>
        <v/>
      </c>
      <c r="J9" s="9">
        <f>IF(D9="","",D9+90)</f>
        <v/>
      </c>
    </row>
    <row r="10">
      <c r="A10" s="4" t="n"/>
      <c r="B10" s="4" t="n"/>
      <c r="C10" s="4" t="n"/>
      <c r="D10" s="5" t="n"/>
      <c r="E10" s="4" t="n"/>
      <c r="F10" s="4" t="n"/>
      <c r="G10" s="6">
        <f>IF(E10="","",E10)</f>
        <v/>
      </c>
      <c r="H10" s="7">
        <f>IF(D10="","",TODAY()-D10)</f>
        <v/>
      </c>
      <c r="I10" s="8">
        <f>IF(H10="","",IF(H10&gt;90,"是","否"))</f>
        <v/>
      </c>
      <c r="J10" s="9">
        <f>IF(D10="","",D10+90)</f>
        <v/>
      </c>
    </row>
    <row r="11">
      <c r="A11" s="4" t="n"/>
      <c r="B11" s="4" t="n"/>
      <c r="C11" s="4" t="n"/>
      <c r="D11" s="5" t="n"/>
      <c r="E11" s="4" t="n"/>
      <c r="F11" s="4" t="n"/>
      <c r="G11" s="6">
        <f>IF(E11="","",E11)</f>
        <v/>
      </c>
      <c r="H11" s="7">
        <f>IF(D11="","",TODAY()-D11)</f>
        <v/>
      </c>
      <c r="I11" s="8">
        <f>IF(H11="","",IF(H11&gt;90,"是","否"))</f>
        <v/>
      </c>
      <c r="J11" s="9">
        <f>IF(D11="","",D11+90)</f>
        <v/>
      </c>
    </row>
    <row r="12">
      <c r="A12" s="4" t="n"/>
      <c r="B12" s="4" t="n"/>
      <c r="C12" s="4" t="n"/>
      <c r="D12" s="5" t="n"/>
      <c r="E12" s="4" t="n"/>
      <c r="F12" s="4" t="n"/>
      <c r="G12" s="6">
        <f>IF(E12="","",E12)</f>
        <v/>
      </c>
      <c r="H12" s="7">
        <f>IF(D12="","",TODAY()-D12)</f>
        <v/>
      </c>
      <c r="I12" s="8">
        <f>IF(H12="","",IF(H12&gt;90,"是","否"))</f>
        <v/>
      </c>
      <c r="J12" s="9">
        <f>IF(D12="","",D12+90)</f>
        <v/>
      </c>
    </row>
    <row r="13">
      <c r="A13" s="4" t="n"/>
      <c r="B13" s="4" t="n"/>
      <c r="C13" s="4" t="n"/>
      <c r="D13" s="5" t="n"/>
      <c r="E13" s="4" t="n"/>
      <c r="F13" s="4" t="n"/>
      <c r="G13" s="6">
        <f>IF(E13="","",E13)</f>
        <v/>
      </c>
      <c r="H13" s="7">
        <f>IF(D13="","",TODAY()-D13)</f>
        <v/>
      </c>
      <c r="I13" s="8">
        <f>IF(H13="","",IF(H13&gt;90,"是","否"))</f>
        <v/>
      </c>
      <c r="J13" s="9">
        <f>IF(D13="","",D13+90)</f>
        <v/>
      </c>
    </row>
    <row r="14">
      <c r="A14" s="4" t="n"/>
      <c r="B14" s="4" t="n"/>
      <c r="C14" s="4" t="n"/>
      <c r="D14" s="5" t="n"/>
      <c r="E14" s="4" t="n"/>
      <c r="F14" s="4" t="n"/>
      <c r="G14" s="6">
        <f>IF(E14="","",E14)</f>
        <v/>
      </c>
      <c r="H14" s="7">
        <f>IF(D14="","",TODAY()-D14)</f>
        <v/>
      </c>
      <c r="I14" s="8">
        <f>IF(H14="","",IF(H14&gt;90,"是","否"))</f>
        <v/>
      </c>
      <c r="J14" s="9">
        <f>IF(D14="","",D14+90)</f>
        <v/>
      </c>
    </row>
    <row r="15">
      <c r="A15" s="4" t="n"/>
      <c r="B15" s="4" t="n"/>
      <c r="C15" s="4" t="n"/>
      <c r="D15" s="5" t="n"/>
      <c r="E15" s="4" t="n"/>
      <c r="F15" s="4" t="n"/>
      <c r="G15" s="6">
        <f>IF(E15="","",E15)</f>
        <v/>
      </c>
      <c r="H15" s="7">
        <f>IF(D15="","",TODAY()-D15)</f>
        <v/>
      </c>
      <c r="I15" s="8">
        <f>IF(H15="","",IF(H15&gt;90,"是","否"))</f>
        <v/>
      </c>
      <c r="J15" s="9">
        <f>IF(D15="","",D15+90)</f>
        <v/>
      </c>
    </row>
    <row r="16">
      <c r="A16" s="4" t="n"/>
      <c r="B16" s="4" t="n"/>
      <c r="C16" s="4" t="n"/>
      <c r="D16" s="5" t="n"/>
      <c r="E16" s="4" t="n"/>
      <c r="F16" s="4" t="n"/>
      <c r="G16" s="6">
        <f>IF(E16="","",E16)</f>
        <v/>
      </c>
      <c r="H16" s="7">
        <f>IF(D16="","",TODAY()-D16)</f>
        <v/>
      </c>
      <c r="I16" s="8">
        <f>IF(H16="","",IF(H16&gt;90,"是","否"))</f>
        <v/>
      </c>
      <c r="J16" s="9">
        <f>IF(D16="","",D16+90)</f>
        <v/>
      </c>
    </row>
    <row r="17">
      <c r="A17" s="4" t="n"/>
      <c r="B17" s="4" t="n"/>
      <c r="C17" s="4" t="n"/>
      <c r="D17" s="5" t="n"/>
      <c r="E17" s="4" t="n"/>
      <c r="F17" s="4" t="n"/>
      <c r="G17" s="6">
        <f>IF(E17="","",E17)</f>
        <v/>
      </c>
      <c r="H17" s="7">
        <f>IF(D17="","",TODAY()-D17)</f>
        <v/>
      </c>
      <c r="I17" s="8">
        <f>IF(H17="","",IF(H17&gt;90,"是","否"))</f>
        <v/>
      </c>
      <c r="J17" s="9">
        <f>IF(D17="","",D17+90)</f>
        <v/>
      </c>
    </row>
    <row r="18">
      <c r="A18" s="4" t="n"/>
      <c r="B18" s="4" t="n"/>
      <c r="C18" s="4" t="n"/>
      <c r="D18" s="5" t="n"/>
      <c r="E18" s="4" t="n"/>
      <c r="F18" s="4" t="n"/>
      <c r="G18" s="6">
        <f>IF(E18="","",E18)</f>
        <v/>
      </c>
      <c r="H18" s="7">
        <f>IF(D18="","",TODAY()-D18)</f>
        <v/>
      </c>
      <c r="I18" s="8">
        <f>IF(H18="","",IF(H18&gt;90,"是","否"))</f>
        <v/>
      </c>
      <c r="J18" s="9">
        <f>IF(D18="","",D18+90)</f>
        <v/>
      </c>
    </row>
    <row r="19">
      <c r="A19" s="4" t="n"/>
      <c r="B19" s="4" t="n"/>
      <c r="C19" s="4" t="n"/>
      <c r="D19" s="5" t="n"/>
      <c r="E19" s="4" t="n"/>
      <c r="F19" s="4" t="n"/>
      <c r="G19" s="6">
        <f>IF(E19="","",E19)</f>
        <v/>
      </c>
      <c r="H19" s="7">
        <f>IF(D19="","",TODAY()-D19)</f>
        <v/>
      </c>
      <c r="I19" s="8">
        <f>IF(H19="","",IF(H19&gt;90,"是","否"))</f>
        <v/>
      </c>
      <c r="J19" s="9">
        <f>IF(D19="","",D19+90)</f>
        <v/>
      </c>
    </row>
    <row r="20">
      <c r="A20" s="4" t="n"/>
      <c r="B20" s="4" t="n"/>
      <c r="C20" s="4" t="n"/>
      <c r="D20" s="5" t="n"/>
      <c r="E20" s="4" t="n"/>
      <c r="F20" s="4" t="n"/>
      <c r="G20" s="6">
        <f>IF(E20="","",E20)</f>
        <v/>
      </c>
      <c r="H20" s="7">
        <f>IF(D20="","",TODAY()-D20)</f>
        <v/>
      </c>
      <c r="I20" s="8">
        <f>IF(H20="","",IF(H20&gt;90,"是","否"))</f>
        <v/>
      </c>
      <c r="J20" s="9">
        <f>IF(D20="","",D20+90)</f>
        <v/>
      </c>
    </row>
    <row r="21">
      <c r="A21" s="4" t="n"/>
      <c r="B21" s="4" t="n"/>
      <c r="C21" s="4" t="n"/>
      <c r="D21" s="5" t="n"/>
      <c r="E21" s="4" t="n"/>
      <c r="F21" s="4" t="n"/>
      <c r="G21" s="6">
        <f>IF(E21="","",E21)</f>
        <v/>
      </c>
      <c r="H21" s="7">
        <f>IF(D21="","",TODAY()-D21)</f>
        <v/>
      </c>
      <c r="I21" s="8">
        <f>IF(H21="","",IF(H21&gt;90,"是","否"))</f>
        <v/>
      </c>
      <c r="J21" s="9">
        <f>IF(D21="","",D21+90)</f>
        <v/>
      </c>
    </row>
    <row r="22">
      <c r="A22" s="4" t="n"/>
      <c r="B22" s="4" t="n"/>
      <c r="C22" s="4" t="n"/>
      <c r="D22" s="5" t="n"/>
      <c r="E22" s="4" t="n"/>
      <c r="F22" s="4" t="n"/>
      <c r="G22" s="6">
        <f>IF(E22="","",E22)</f>
        <v/>
      </c>
      <c r="H22" s="7">
        <f>IF(D22="","",TODAY()-D22)</f>
        <v/>
      </c>
      <c r="I22" s="8">
        <f>IF(H22="","",IF(H22&gt;90,"是","否"))</f>
        <v/>
      </c>
      <c r="J22" s="9">
        <f>IF(D22="","",D22+90)</f>
        <v/>
      </c>
    </row>
    <row r="23">
      <c r="A23" s="4" t="n"/>
      <c r="B23" s="4" t="n"/>
      <c r="C23" s="4" t="n"/>
      <c r="D23" s="5" t="n"/>
      <c r="E23" s="4" t="n"/>
      <c r="F23" s="4" t="n"/>
      <c r="G23" s="6">
        <f>IF(E23="","",E23)</f>
        <v/>
      </c>
      <c r="H23" s="7">
        <f>IF(D23="","",TODAY()-D23)</f>
        <v/>
      </c>
      <c r="I23" s="8">
        <f>IF(H23="","",IF(H23&gt;90,"是","否"))</f>
        <v/>
      </c>
      <c r="J23" s="9">
        <f>IF(D23="","",D23+90)</f>
        <v/>
      </c>
    </row>
    <row r="24">
      <c r="A24" s="4" t="n"/>
      <c r="B24" s="4" t="n"/>
      <c r="C24" s="4" t="n"/>
      <c r="D24" s="5" t="n"/>
      <c r="E24" s="4" t="n"/>
      <c r="F24" s="4" t="n"/>
      <c r="G24" s="6">
        <f>IF(E24="","",E24)</f>
        <v/>
      </c>
      <c r="H24" s="7">
        <f>IF(D24="","",TODAY()-D24)</f>
        <v/>
      </c>
      <c r="I24" s="8">
        <f>IF(H24="","",IF(H24&gt;90,"是","否"))</f>
        <v/>
      </c>
      <c r="J24" s="9">
        <f>IF(D24="","",D24+90)</f>
        <v/>
      </c>
    </row>
    <row r="25">
      <c r="A25" s="4" t="n"/>
      <c r="B25" s="4" t="n"/>
      <c r="C25" s="4" t="n"/>
      <c r="D25" s="5" t="n"/>
      <c r="E25" s="4" t="n"/>
      <c r="F25" s="4" t="n"/>
      <c r="G25" s="6">
        <f>IF(E25="","",E25)</f>
        <v/>
      </c>
      <c r="H25" s="7">
        <f>IF(D25="","",TODAY()-D25)</f>
        <v/>
      </c>
      <c r="I25" s="8">
        <f>IF(H25="","",IF(H25&gt;90,"是","否"))</f>
        <v/>
      </c>
      <c r="J25" s="9">
        <f>IF(D25="","",D25+90)</f>
        <v/>
      </c>
    </row>
    <row r="26">
      <c r="A26" s="4" t="n"/>
      <c r="B26" s="4" t="n"/>
      <c r="C26" s="4" t="n"/>
      <c r="D26" s="5" t="n"/>
      <c r="E26" s="4" t="n"/>
      <c r="F26" s="4" t="n"/>
      <c r="G26" s="6">
        <f>IF(E26="","",E26)</f>
        <v/>
      </c>
      <c r="H26" s="7">
        <f>IF(D26="","",TODAY()-D26)</f>
        <v/>
      </c>
      <c r="I26" s="8">
        <f>IF(H26="","",IF(H26&gt;90,"是","否"))</f>
        <v/>
      </c>
      <c r="J26" s="9">
        <f>IF(D26="","",D26+90)</f>
        <v/>
      </c>
    </row>
    <row r="27">
      <c r="A27" s="4" t="n"/>
      <c r="B27" s="4" t="n"/>
      <c r="C27" s="4" t="n"/>
      <c r="D27" s="5" t="n"/>
      <c r="E27" s="4" t="n"/>
      <c r="F27" s="4" t="n"/>
      <c r="G27" s="6">
        <f>IF(E27="","",E27)</f>
        <v/>
      </c>
      <c r="H27" s="7">
        <f>IF(D27="","",TODAY()-D27)</f>
        <v/>
      </c>
      <c r="I27" s="8">
        <f>IF(H27="","",IF(H27&gt;90,"是","否"))</f>
        <v/>
      </c>
      <c r="J27" s="9">
        <f>IF(D27="","",D27+90)</f>
        <v/>
      </c>
    </row>
    <row r="28">
      <c r="A28" s="4" t="n"/>
      <c r="B28" s="4" t="n"/>
      <c r="C28" s="4" t="n"/>
      <c r="D28" s="5" t="n"/>
      <c r="E28" s="4" t="n"/>
      <c r="F28" s="4" t="n"/>
      <c r="G28" s="6">
        <f>IF(E28="","",E28)</f>
        <v/>
      </c>
      <c r="H28" s="7">
        <f>IF(D28="","",TODAY()-D28)</f>
        <v/>
      </c>
      <c r="I28" s="8">
        <f>IF(H28="","",IF(H28&gt;90,"是","否"))</f>
        <v/>
      </c>
      <c r="J28" s="9">
        <f>IF(D28="","",D28+90)</f>
        <v/>
      </c>
    </row>
    <row r="29">
      <c r="A29" s="4" t="n"/>
      <c r="B29" s="4" t="n"/>
      <c r="C29" s="4" t="n"/>
      <c r="D29" s="5" t="n"/>
      <c r="E29" s="4" t="n"/>
      <c r="F29" s="4" t="n"/>
      <c r="G29" s="6">
        <f>IF(E29="","",E29)</f>
        <v/>
      </c>
      <c r="H29" s="7">
        <f>IF(D29="","",TODAY()-D29)</f>
        <v/>
      </c>
      <c r="I29" s="8">
        <f>IF(H29="","",IF(H29&gt;90,"是","否"))</f>
        <v/>
      </c>
      <c r="J29" s="9">
        <f>IF(D29="","",D29+90)</f>
        <v/>
      </c>
    </row>
    <row r="30">
      <c r="A30" s="4" t="n"/>
      <c r="B30" s="4" t="n"/>
      <c r="C30" s="4" t="n"/>
      <c r="D30" s="5" t="n"/>
      <c r="E30" s="4" t="n"/>
      <c r="F30" s="4" t="n"/>
      <c r="G30" s="6">
        <f>IF(E30="","",E30)</f>
        <v/>
      </c>
      <c r="H30" s="7">
        <f>IF(D30="","",TODAY()-D30)</f>
        <v/>
      </c>
      <c r="I30" s="8">
        <f>IF(H30="","",IF(H30&gt;90,"是","否"))</f>
        <v/>
      </c>
      <c r="J30" s="9">
        <f>IF(D30="","",D30+90)</f>
        <v/>
      </c>
    </row>
    <row r="31">
      <c r="A31" s="4" t="n"/>
      <c r="B31" s="4" t="n"/>
      <c r="C31" s="4" t="n"/>
      <c r="D31" s="5" t="n"/>
      <c r="E31" s="4" t="n"/>
      <c r="F31" s="4" t="n"/>
      <c r="G31" s="6">
        <f>IF(E31="","",E31)</f>
        <v/>
      </c>
      <c r="H31" s="7">
        <f>IF(D31="","",TODAY()-D31)</f>
        <v/>
      </c>
      <c r="I31" s="8">
        <f>IF(H31="","",IF(H31&gt;90,"是","否"))</f>
        <v/>
      </c>
      <c r="J31" s="9">
        <f>IF(D31="","",D31+90)</f>
        <v/>
      </c>
    </row>
    <row r="32">
      <c r="A32" s="4" t="n"/>
      <c r="B32" s="4" t="n"/>
      <c r="C32" s="4" t="n"/>
      <c r="D32" s="5" t="n"/>
      <c r="E32" s="4" t="n"/>
      <c r="F32" s="4" t="n"/>
      <c r="G32" s="6">
        <f>IF(E32="","",E32)</f>
        <v/>
      </c>
      <c r="H32" s="7">
        <f>IF(D32="","",TODAY()-D32)</f>
        <v/>
      </c>
      <c r="I32" s="8">
        <f>IF(H32="","",IF(H32&gt;90,"是","否"))</f>
        <v/>
      </c>
      <c r="J32" s="9">
        <f>IF(D32="","",D32+90)</f>
        <v/>
      </c>
    </row>
    <row r="33">
      <c r="A33" s="4" t="n"/>
      <c r="B33" s="4" t="n"/>
      <c r="C33" s="4" t="n"/>
      <c r="D33" s="5" t="n"/>
      <c r="E33" s="4" t="n"/>
      <c r="F33" s="4" t="n"/>
      <c r="G33" s="6">
        <f>IF(E33="","",E33)</f>
        <v/>
      </c>
      <c r="H33" s="7">
        <f>IF(D33="","",TODAY()-D33)</f>
        <v/>
      </c>
      <c r="I33" s="8">
        <f>IF(H33="","",IF(H33&gt;90,"是","否"))</f>
        <v/>
      </c>
      <c r="J33" s="9">
        <f>IF(D33="","",D33+90)</f>
        <v/>
      </c>
    </row>
    <row r="34">
      <c r="A34" s="4" t="n"/>
      <c r="B34" s="4" t="n"/>
      <c r="C34" s="4" t="n"/>
      <c r="D34" s="5" t="n"/>
      <c r="E34" s="4" t="n"/>
      <c r="F34" s="4" t="n"/>
      <c r="G34" s="6">
        <f>IF(E34="","",E34)</f>
        <v/>
      </c>
      <c r="H34" s="7">
        <f>IF(D34="","",TODAY()-D34)</f>
        <v/>
      </c>
      <c r="I34" s="8">
        <f>IF(H34="","",IF(H34&gt;90,"是","否"))</f>
        <v/>
      </c>
      <c r="J34" s="9">
        <f>IF(D34="","",D34+90)</f>
        <v/>
      </c>
    </row>
    <row r="35">
      <c r="A35" s="4" t="n"/>
      <c r="B35" s="4" t="n"/>
      <c r="C35" s="4" t="n"/>
      <c r="D35" s="5" t="n"/>
      <c r="E35" s="4" t="n"/>
      <c r="F35" s="4" t="n"/>
      <c r="G35" s="6">
        <f>IF(E35="","",E35)</f>
        <v/>
      </c>
      <c r="H35" s="7">
        <f>IF(D35="","",TODAY()-D35)</f>
        <v/>
      </c>
      <c r="I35" s="8">
        <f>IF(H35="","",IF(H35&gt;90,"是","否"))</f>
        <v/>
      </c>
      <c r="J35" s="9">
        <f>IF(D35="","",D35+90)</f>
        <v/>
      </c>
    </row>
    <row r="36">
      <c r="A36" s="4" t="n"/>
      <c r="B36" s="4" t="n"/>
      <c r="C36" s="4" t="n"/>
      <c r="D36" s="5" t="n"/>
      <c r="E36" s="4" t="n"/>
      <c r="F36" s="4" t="n"/>
      <c r="G36" s="6">
        <f>IF(E36="","",E36)</f>
        <v/>
      </c>
      <c r="H36" s="7">
        <f>IF(D36="","",TODAY()-D36)</f>
        <v/>
      </c>
      <c r="I36" s="8">
        <f>IF(H36="","",IF(H36&gt;90,"是","否"))</f>
        <v/>
      </c>
      <c r="J36" s="9">
        <f>IF(D36="","",D36+90)</f>
        <v/>
      </c>
    </row>
    <row r="37">
      <c r="A37" s="4" t="n"/>
      <c r="B37" s="4" t="n"/>
      <c r="C37" s="4" t="n"/>
      <c r="D37" s="5" t="n"/>
      <c r="E37" s="4" t="n"/>
      <c r="F37" s="4" t="n"/>
      <c r="G37" s="6">
        <f>IF(E37="","",E37)</f>
        <v/>
      </c>
      <c r="H37" s="7">
        <f>IF(D37="","",TODAY()-D37)</f>
        <v/>
      </c>
      <c r="I37" s="8">
        <f>IF(H37="","",IF(H37&gt;90,"是","否"))</f>
        <v/>
      </c>
      <c r="J37" s="9">
        <f>IF(D37="","",D37+90)</f>
        <v/>
      </c>
    </row>
    <row r="38">
      <c r="A38" s="4" t="n"/>
      <c r="B38" s="4" t="n"/>
      <c r="C38" s="4" t="n"/>
      <c r="D38" s="5" t="n"/>
      <c r="E38" s="4" t="n"/>
      <c r="F38" s="4" t="n"/>
      <c r="G38" s="6">
        <f>IF(E38="","",E38)</f>
        <v/>
      </c>
      <c r="H38" s="7">
        <f>IF(D38="","",TODAY()-D38)</f>
        <v/>
      </c>
      <c r="I38" s="8">
        <f>IF(H38="","",IF(H38&gt;90,"是","否"))</f>
        <v/>
      </c>
      <c r="J38" s="9">
        <f>IF(D38="","",D38+90)</f>
        <v/>
      </c>
    </row>
    <row r="39">
      <c r="A39" s="4" t="n"/>
      <c r="B39" s="4" t="n"/>
      <c r="C39" s="4" t="n"/>
      <c r="D39" s="5" t="n"/>
      <c r="E39" s="4" t="n"/>
      <c r="F39" s="4" t="n"/>
      <c r="G39" s="6">
        <f>IF(E39="","",E39)</f>
        <v/>
      </c>
      <c r="H39" s="7">
        <f>IF(D39="","",TODAY()-D39)</f>
        <v/>
      </c>
      <c r="I39" s="8">
        <f>IF(H39="","",IF(H39&gt;90,"是","否"))</f>
        <v/>
      </c>
      <c r="J39" s="9">
        <f>IF(D39="","",D39+90)</f>
        <v/>
      </c>
    </row>
    <row r="40">
      <c r="A40" s="4" t="n"/>
      <c r="B40" s="4" t="n"/>
      <c r="C40" s="4" t="n"/>
      <c r="D40" s="5" t="n"/>
      <c r="E40" s="4" t="n"/>
      <c r="F40" s="4" t="n"/>
      <c r="G40" s="6">
        <f>IF(E40="","",E40)</f>
        <v/>
      </c>
      <c r="H40" s="7">
        <f>IF(D40="","",TODAY()-D40)</f>
        <v/>
      </c>
      <c r="I40" s="8">
        <f>IF(H40="","",IF(H40&gt;90,"是","否"))</f>
        <v/>
      </c>
      <c r="J40" s="9">
        <f>IF(D40="","",D40+90)</f>
        <v/>
      </c>
    </row>
    <row r="41">
      <c r="A41" s="4" t="n"/>
      <c r="B41" s="4" t="n"/>
      <c r="C41" s="4" t="n"/>
      <c r="D41" s="5" t="n"/>
      <c r="E41" s="4" t="n"/>
      <c r="F41" s="4" t="n"/>
      <c r="G41" s="6">
        <f>IF(E41="","",E41)</f>
        <v/>
      </c>
      <c r="H41" s="7">
        <f>IF(D41="","",TODAY()-D41)</f>
        <v/>
      </c>
      <c r="I41" s="8">
        <f>IF(H41="","",IF(H41&gt;90,"是","否"))</f>
        <v/>
      </c>
      <c r="J41" s="9">
        <f>IF(D41="","",D41+90)</f>
        <v/>
      </c>
    </row>
    <row r="42">
      <c r="A42" s="4" t="n"/>
      <c r="B42" s="4" t="n"/>
      <c r="C42" s="4" t="n"/>
      <c r="D42" s="5" t="n"/>
      <c r="E42" s="4" t="n"/>
      <c r="F42" s="4" t="n"/>
      <c r="G42" s="6">
        <f>IF(E42="","",E42)</f>
        <v/>
      </c>
      <c r="H42" s="7">
        <f>IF(D42="","",TODAY()-D42)</f>
        <v/>
      </c>
      <c r="I42" s="8">
        <f>IF(H42="","",IF(H42&gt;90,"是","否"))</f>
        <v/>
      </c>
      <c r="J42" s="9">
        <f>IF(D42="","",D42+90)</f>
        <v/>
      </c>
    </row>
    <row r="43">
      <c r="A43" s="4" t="n"/>
      <c r="B43" s="4" t="n"/>
      <c r="C43" s="4" t="n"/>
      <c r="D43" s="5" t="n"/>
      <c r="E43" s="4" t="n"/>
      <c r="F43" s="4" t="n"/>
      <c r="G43" s="6">
        <f>IF(E43="","",E43)</f>
        <v/>
      </c>
      <c r="H43" s="7">
        <f>IF(D43="","",TODAY()-D43)</f>
        <v/>
      </c>
      <c r="I43" s="8">
        <f>IF(H43="","",IF(H43&gt;90,"是","否"))</f>
        <v/>
      </c>
      <c r="J43" s="9">
        <f>IF(D43="","",D43+90)</f>
        <v/>
      </c>
    </row>
    <row r="44">
      <c r="A44" s="4" t="n"/>
      <c r="B44" s="4" t="n"/>
      <c r="C44" s="4" t="n"/>
      <c r="D44" s="5" t="n"/>
      <c r="E44" s="4" t="n"/>
      <c r="F44" s="4" t="n"/>
      <c r="G44" s="6">
        <f>IF(E44="","",E44)</f>
        <v/>
      </c>
      <c r="H44" s="7">
        <f>IF(D44="","",TODAY()-D44)</f>
        <v/>
      </c>
      <c r="I44" s="8">
        <f>IF(H44="","",IF(H44&gt;90,"是","否"))</f>
        <v/>
      </c>
      <c r="J44" s="9">
        <f>IF(D44="","",D44+90)</f>
        <v/>
      </c>
    </row>
    <row r="45">
      <c r="A45" s="4" t="n"/>
      <c r="B45" s="4" t="n"/>
      <c r="C45" s="4" t="n"/>
      <c r="D45" s="5" t="n"/>
      <c r="E45" s="4" t="n"/>
      <c r="F45" s="4" t="n"/>
      <c r="G45" s="6">
        <f>IF(E45="","",E45)</f>
        <v/>
      </c>
      <c r="H45" s="7">
        <f>IF(D45="","",TODAY()-D45)</f>
        <v/>
      </c>
      <c r="I45" s="8">
        <f>IF(H45="","",IF(H45&gt;90,"是","否"))</f>
        <v/>
      </c>
      <c r="J45" s="9">
        <f>IF(D45="","",D45+90)</f>
        <v/>
      </c>
    </row>
    <row r="46">
      <c r="A46" s="4" t="n"/>
      <c r="B46" s="4" t="n"/>
      <c r="C46" s="4" t="n"/>
      <c r="D46" s="5" t="n"/>
      <c r="E46" s="4" t="n"/>
      <c r="F46" s="4" t="n"/>
      <c r="G46" s="6">
        <f>IF(E46="","",E46)</f>
        <v/>
      </c>
      <c r="H46" s="7">
        <f>IF(D46="","",TODAY()-D46)</f>
        <v/>
      </c>
      <c r="I46" s="8">
        <f>IF(H46="","",IF(H46&gt;90,"是","否"))</f>
        <v/>
      </c>
      <c r="J46" s="9">
        <f>IF(D46="","",D46+90)</f>
        <v/>
      </c>
    </row>
    <row r="47">
      <c r="A47" s="4" t="n"/>
      <c r="B47" s="4" t="n"/>
      <c r="C47" s="4" t="n"/>
      <c r="D47" s="5" t="n"/>
      <c r="E47" s="4" t="n"/>
      <c r="F47" s="4" t="n"/>
      <c r="G47" s="6">
        <f>IF(E47="","",E47)</f>
        <v/>
      </c>
      <c r="H47" s="7">
        <f>IF(D47="","",TODAY()-D47)</f>
        <v/>
      </c>
      <c r="I47" s="8">
        <f>IF(H47="","",IF(H47&gt;90,"是","否"))</f>
        <v/>
      </c>
      <c r="J47" s="9">
        <f>IF(D47="","",D47+90)</f>
        <v/>
      </c>
    </row>
    <row r="48">
      <c r="A48" s="4" t="n"/>
      <c r="B48" s="4" t="n"/>
      <c r="C48" s="4" t="n"/>
      <c r="D48" s="5" t="n"/>
      <c r="E48" s="4" t="n"/>
      <c r="F48" s="4" t="n"/>
      <c r="G48" s="6">
        <f>IF(E48="","",E48)</f>
        <v/>
      </c>
      <c r="H48" s="7">
        <f>IF(D48="","",TODAY()-D48)</f>
        <v/>
      </c>
      <c r="I48" s="8">
        <f>IF(H48="","",IF(H48&gt;90,"是","否"))</f>
        <v/>
      </c>
      <c r="J48" s="9">
        <f>IF(D48="","",D48+90)</f>
        <v/>
      </c>
    </row>
    <row r="49">
      <c r="A49" s="4" t="n"/>
      <c r="B49" s="4" t="n"/>
      <c r="C49" s="4" t="n"/>
      <c r="D49" s="5" t="n"/>
      <c r="E49" s="4" t="n"/>
      <c r="F49" s="4" t="n"/>
      <c r="G49" s="6">
        <f>IF(E49="","",E49)</f>
        <v/>
      </c>
      <c r="H49" s="7">
        <f>IF(D49="","",TODAY()-D49)</f>
        <v/>
      </c>
      <c r="I49" s="8">
        <f>IF(H49="","",IF(H49&gt;90,"是","否"))</f>
        <v/>
      </c>
      <c r="J49" s="9">
        <f>IF(D49="","",D49+90)</f>
        <v/>
      </c>
    </row>
    <row r="50">
      <c r="A50" s="4" t="n"/>
      <c r="B50" s="4" t="n"/>
      <c r="C50" s="4" t="n"/>
      <c r="D50" s="5" t="n"/>
      <c r="E50" s="4" t="n"/>
      <c r="F50" s="4" t="n"/>
      <c r="G50" s="6">
        <f>IF(E50="","",E50)</f>
        <v/>
      </c>
      <c r="H50" s="7">
        <f>IF(D50="","",TODAY()-D50)</f>
        <v/>
      </c>
      <c r="I50" s="8">
        <f>IF(H50="","",IF(H50&gt;90,"是","否"))</f>
        <v/>
      </c>
      <c r="J50" s="9">
        <f>IF(D50="","",D50+90)</f>
        <v/>
      </c>
    </row>
    <row r="51">
      <c r="A51" s="4" t="n"/>
      <c r="B51" s="4" t="n"/>
      <c r="C51" s="4" t="n"/>
      <c r="D51" s="5" t="n"/>
      <c r="E51" s="4" t="n"/>
      <c r="F51" s="4" t="n"/>
      <c r="G51" s="6">
        <f>IF(E51="","",E51)</f>
        <v/>
      </c>
      <c r="H51" s="7">
        <f>IF(D51="","",TODAY()-D51)</f>
        <v/>
      </c>
      <c r="I51" s="8">
        <f>IF(H51="","",IF(H51&gt;90,"是","否"))</f>
        <v/>
      </c>
      <c r="J51" s="9">
        <f>IF(D51="","",D51+90)</f>
        <v/>
      </c>
    </row>
    <row r="52">
      <c r="A52" s="4" t="n"/>
      <c r="B52" s="4" t="n"/>
      <c r="C52" s="4" t="n"/>
      <c r="D52" s="5" t="n"/>
      <c r="E52" s="4" t="n"/>
      <c r="F52" s="4" t="n"/>
      <c r="G52" s="6">
        <f>IF(E52="","",E52)</f>
        <v/>
      </c>
      <c r="H52" s="7">
        <f>IF(D52="","",TODAY()-D52)</f>
        <v/>
      </c>
      <c r="I52" s="8">
        <f>IF(H52="","",IF(H52&gt;90,"是","否"))</f>
        <v/>
      </c>
      <c r="J52" s="9">
        <f>IF(D52="","",D52+90)</f>
        <v/>
      </c>
    </row>
    <row r="53">
      <c r="A53" s="4" t="n"/>
      <c r="B53" s="4" t="n"/>
      <c r="C53" s="4" t="n"/>
      <c r="D53" s="5" t="n"/>
      <c r="E53" s="4" t="n"/>
      <c r="F53" s="4" t="n"/>
      <c r="G53" s="6">
        <f>IF(E53="","",E53)</f>
        <v/>
      </c>
      <c r="H53" s="7">
        <f>IF(D53="","",TODAY()-D53)</f>
        <v/>
      </c>
      <c r="I53" s="8">
        <f>IF(H53="","",IF(H53&gt;90,"是","否"))</f>
        <v/>
      </c>
      <c r="J53" s="9">
        <f>IF(D53="","",D53+90)</f>
        <v/>
      </c>
    </row>
    <row r="54">
      <c r="A54" s="4" t="n"/>
      <c r="B54" s="4" t="n"/>
      <c r="C54" s="4" t="n"/>
      <c r="D54" s="5" t="n"/>
      <c r="E54" s="4" t="n"/>
      <c r="F54" s="4" t="n"/>
      <c r="G54" s="6">
        <f>IF(E54="","",E54)</f>
        <v/>
      </c>
      <c r="H54" s="7">
        <f>IF(D54="","",TODAY()-D54)</f>
        <v/>
      </c>
      <c r="I54" s="8">
        <f>IF(H54="","",IF(H54&gt;90,"是","否"))</f>
        <v/>
      </c>
      <c r="J54" s="9">
        <f>IF(D54="","",D54+90)</f>
        <v/>
      </c>
    </row>
    <row r="55">
      <c r="A55" s="4" t="n"/>
      <c r="B55" s="4" t="n"/>
      <c r="C55" s="4" t="n"/>
      <c r="D55" s="5" t="n"/>
      <c r="E55" s="4" t="n"/>
      <c r="F55" s="4" t="n"/>
      <c r="G55" s="6">
        <f>IF(E55="","",E55)</f>
        <v/>
      </c>
      <c r="H55" s="7">
        <f>IF(D55="","",TODAY()-D55)</f>
        <v/>
      </c>
      <c r="I55" s="8">
        <f>IF(H55="","",IF(H55&gt;90,"是","否"))</f>
        <v/>
      </c>
      <c r="J55" s="9">
        <f>IF(D55="","",D55+90)</f>
        <v/>
      </c>
    </row>
    <row r="56">
      <c r="A56" s="4" t="n"/>
      <c r="B56" s="4" t="n"/>
      <c r="C56" s="4" t="n"/>
      <c r="D56" s="5" t="n"/>
      <c r="E56" s="4" t="n"/>
      <c r="F56" s="4" t="n"/>
      <c r="G56" s="6">
        <f>IF(E56="","",E56)</f>
        <v/>
      </c>
      <c r="H56" s="7">
        <f>IF(D56="","",TODAY()-D56)</f>
        <v/>
      </c>
      <c r="I56" s="8">
        <f>IF(H56="","",IF(H56&gt;90,"是","否"))</f>
        <v/>
      </c>
      <c r="J56" s="9">
        <f>IF(D56="","",D56+90)</f>
        <v/>
      </c>
    </row>
    <row r="57">
      <c r="A57" s="4" t="n"/>
      <c r="B57" s="4" t="n"/>
      <c r="C57" s="4" t="n"/>
      <c r="D57" s="5" t="n"/>
      <c r="E57" s="4" t="n"/>
      <c r="F57" s="4" t="n"/>
      <c r="G57" s="6">
        <f>IF(E57="","",E57)</f>
        <v/>
      </c>
      <c r="H57" s="7">
        <f>IF(D57="","",TODAY()-D57)</f>
        <v/>
      </c>
      <c r="I57" s="8">
        <f>IF(H57="","",IF(H57&gt;90,"是","否"))</f>
        <v/>
      </c>
      <c r="J57" s="9">
        <f>IF(D57="","",D57+90)</f>
        <v/>
      </c>
    </row>
    <row r="58">
      <c r="A58" s="4" t="n"/>
      <c r="B58" s="4" t="n"/>
      <c r="C58" s="4" t="n"/>
      <c r="D58" s="5" t="n"/>
      <c r="E58" s="4" t="n"/>
      <c r="F58" s="4" t="n"/>
      <c r="G58" s="6">
        <f>IF(E58="","",E58)</f>
        <v/>
      </c>
      <c r="H58" s="7">
        <f>IF(D58="","",TODAY()-D58)</f>
        <v/>
      </c>
      <c r="I58" s="8">
        <f>IF(H58="","",IF(H58&gt;90,"是","否"))</f>
        <v/>
      </c>
      <c r="J58" s="9">
        <f>IF(D58="","",D58+90)</f>
        <v/>
      </c>
    </row>
    <row r="59">
      <c r="A59" s="4" t="n"/>
      <c r="B59" s="4" t="n"/>
      <c r="C59" s="4" t="n"/>
      <c r="D59" s="5" t="n"/>
      <c r="E59" s="4" t="n"/>
      <c r="F59" s="4" t="n"/>
      <c r="G59" s="6">
        <f>IF(E59="","",E59)</f>
        <v/>
      </c>
      <c r="H59" s="7">
        <f>IF(D59="","",TODAY()-D59)</f>
        <v/>
      </c>
      <c r="I59" s="8">
        <f>IF(H59="","",IF(H59&gt;90,"是","否"))</f>
        <v/>
      </c>
      <c r="J59" s="9">
        <f>IF(D59="","",D59+90)</f>
        <v/>
      </c>
    </row>
    <row r="60">
      <c r="A60" s="4" t="n"/>
      <c r="B60" s="4" t="n"/>
      <c r="C60" s="4" t="n"/>
      <c r="D60" s="5" t="n"/>
      <c r="E60" s="4" t="n"/>
      <c r="F60" s="4" t="n"/>
      <c r="G60" s="6">
        <f>IF(E60="","",E60)</f>
        <v/>
      </c>
      <c r="H60" s="7">
        <f>IF(D60="","",TODAY()-D60)</f>
        <v/>
      </c>
      <c r="I60" s="8">
        <f>IF(H60="","",IF(H60&gt;90,"是","否"))</f>
        <v/>
      </c>
      <c r="J60" s="9">
        <f>IF(D60="","",D60+90)</f>
        <v/>
      </c>
    </row>
    <row r="61">
      <c r="A61" s="4" t="n"/>
      <c r="B61" s="4" t="n"/>
      <c r="C61" s="4" t="n"/>
      <c r="D61" s="5" t="n"/>
      <c r="E61" s="4" t="n"/>
      <c r="F61" s="4" t="n"/>
      <c r="G61" s="6">
        <f>IF(E61="","",E61)</f>
        <v/>
      </c>
      <c r="H61" s="7">
        <f>IF(D61="","",TODAY()-D61)</f>
        <v/>
      </c>
      <c r="I61" s="8">
        <f>IF(H61="","",IF(H61&gt;90,"是","否"))</f>
        <v/>
      </c>
      <c r="J61" s="9">
        <f>IF(D61="","",D61+90)</f>
        <v/>
      </c>
    </row>
    <row r="62">
      <c r="A62" s="4" t="n"/>
      <c r="B62" s="4" t="n"/>
      <c r="C62" s="4" t="n"/>
      <c r="D62" s="5" t="n"/>
      <c r="E62" s="4" t="n"/>
      <c r="F62" s="4" t="n"/>
      <c r="G62" s="6">
        <f>IF(E62="","",E62)</f>
        <v/>
      </c>
      <c r="H62" s="7">
        <f>IF(D62="","",TODAY()-D62)</f>
        <v/>
      </c>
      <c r="I62" s="8">
        <f>IF(H62="","",IF(H62&gt;90,"是","否"))</f>
        <v/>
      </c>
      <c r="J62" s="9">
        <f>IF(D62="","",D62+90)</f>
        <v/>
      </c>
    </row>
    <row r="63">
      <c r="A63" s="4" t="n"/>
      <c r="B63" s="4" t="n"/>
      <c r="C63" s="4" t="n"/>
      <c r="D63" s="5" t="n"/>
      <c r="E63" s="4" t="n"/>
      <c r="F63" s="4" t="n"/>
      <c r="G63" s="6">
        <f>IF(E63="","",E63)</f>
        <v/>
      </c>
      <c r="H63" s="7">
        <f>IF(D63="","",TODAY()-D63)</f>
        <v/>
      </c>
      <c r="I63" s="8">
        <f>IF(H63="","",IF(H63&gt;90,"是","否"))</f>
        <v/>
      </c>
      <c r="J63" s="9">
        <f>IF(D63="","",D63+90)</f>
        <v/>
      </c>
    </row>
    <row r="64">
      <c r="A64" s="4" t="n"/>
      <c r="B64" s="4" t="n"/>
      <c r="C64" s="4" t="n"/>
      <c r="D64" s="5" t="n"/>
      <c r="E64" s="4" t="n"/>
      <c r="F64" s="4" t="n"/>
      <c r="G64" s="6">
        <f>IF(E64="","",E64)</f>
        <v/>
      </c>
      <c r="H64" s="7">
        <f>IF(D64="","",TODAY()-D64)</f>
        <v/>
      </c>
      <c r="I64" s="8">
        <f>IF(H64="","",IF(H64&gt;90,"是","否"))</f>
        <v/>
      </c>
      <c r="J64" s="9">
        <f>IF(D64="","",D64+90)</f>
        <v/>
      </c>
    </row>
  </sheetData>
  <conditionalFormatting sqref="E5:E64">
    <cfRule type="cellIs" priority="1" operator="equal" dxfId="0">
      <formula>"高"</formula>
    </cfRule>
    <cfRule type="cellIs" priority="2" operator="equal" dxfId="1">
      <formula>"中"</formula>
    </cfRule>
    <cfRule type="cellIs" priority="3" operator="equal" dxfId="2">
      <formula>"低"</formula>
    </cfRule>
  </conditionalFormatting>
  <conditionalFormatting sqref="I5:I64">
    <cfRule type="cellIs" priority="4" operator="equal" dxfId="0">
      <formula>"是"</formula>
    </cfRule>
  </conditionalFormatting>
  <dataValidations count="1">
    <dataValidation sqref="E5:E64" showDropDown="0" showInputMessage="0" showErrorMessage="0" allowBlank="1" type="list">
      <formula1>"无,低,中,高"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供应商风险汇总看板</t>
        </is>
      </c>
    </row>
    <row r="2">
      <c r="A2" s="2" t="inlineStr">
        <is>
          <t>按供应商聚合：高风险项=结果列含'高'的次数；最久未查=距今天数最大值</t>
        </is>
      </c>
    </row>
    <row r="4">
      <c r="A4" s="3" t="inlineStr">
        <is>
          <t>供应商</t>
        </is>
      </c>
      <c r="B4" s="3" t="inlineStr">
        <is>
          <t>高风险项数</t>
        </is>
      </c>
      <c r="C4" s="3" t="inlineStr">
        <is>
          <t>中风险项数</t>
        </is>
      </c>
      <c r="D4" s="3" t="inlineStr">
        <is>
          <t>最久未查天数</t>
        </is>
      </c>
      <c r="E4" s="3" t="inlineStr">
        <is>
          <t>整体状态</t>
        </is>
      </c>
    </row>
    <row r="5">
      <c r="A5" s="4" t="n"/>
      <c r="B5" s="6">
        <f>IF($A5="","",COUNTIFS(风险监控台账!$A$5:$A$64,$A5,风险监控台账!$E$5:$E$64,"高"))</f>
        <v/>
      </c>
      <c r="C5" s="6">
        <f>IF($A5="","",COUNTIFS(风险监控台账!$A$5:$A$64,$A5,风险监控台账!$E$5:$E$64,"中"))</f>
        <v/>
      </c>
      <c r="D5" s="6">
        <f>IF($A5="","",MAXIFS(风险监控台账!$H$5:$H$64,风险监控台账!$A$5:$A$64,$A5))</f>
        <v/>
      </c>
      <c r="E5" s="8">
        <f>IF($A5="","",IF(B5&gt;0,"高风险",IF(C5&gt;0,"中风险","低风险")))</f>
        <v/>
      </c>
    </row>
    <row r="6">
      <c r="A6" s="4" t="n"/>
      <c r="B6" s="6">
        <f>IF($A6="","",COUNTIFS(风险监控台账!$A$5:$A$64,$A6,风险监控台账!$E$5:$E$64,"高"))</f>
        <v/>
      </c>
      <c r="C6" s="6">
        <f>IF($A6="","",COUNTIFS(风险监控台账!$A$5:$A$64,$A6,风险监控台账!$E$5:$E$64,"中"))</f>
        <v/>
      </c>
      <c r="D6" s="6">
        <f>IF($A6="","",MAXIFS(风险监控台账!$H$5:$H$64,风险监控台账!$A$5:$A$64,$A6))</f>
        <v/>
      </c>
      <c r="E6" s="8">
        <f>IF($A6="","",IF(B6&gt;0,"高风险",IF(C6&gt;0,"中风险","低风险")))</f>
        <v/>
      </c>
    </row>
    <row r="7">
      <c r="A7" s="4" t="n"/>
      <c r="B7" s="6">
        <f>IF($A7="","",COUNTIFS(风险监控台账!$A$5:$A$64,$A7,风险监控台账!$E$5:$E$64,"高"))</f>
        <v/>
      </c>
      <c r="C7" s="6">
        <f>IF($A7="","",COUNTIFS(风险监控台账!$A$5:$A$64,$A7,风险监控台账!$E$5:$E$64,"中"))</f>
        <v/>
      </c>
      <c r="D7" s="6">
        <f>IF($A7="","",MAXIFS(风险监控台账!$H$5:$H$64,风险监控台账!$A$5:$A$64,$A7))</f>
        <v/>
      </c>
      <c r="E7" s="8">
        <f>IF($A7="","",IF(B7&gt;0,"高风险",IF(C7&gt;0,"中风险","低风险")))</f>
        <v/>
      </c>
    </row>
    <row r="8">
      <c r="A8" s="4" t="n"/>
      <c r="B8" s="6">
        <f>IF($A8="","",COUNTIFS(风险监控台账!$A$5:$A$64,$A8,风险监控台账!$E$5:$E$64,"高"))</f>
        <v/>
      </c>
      <c r="C8" s="6">
        <f>IF($A8="","",COUNTIFS(风险监控台账!$A$5:$A$64,$A8,风险监控台账!$E$5:$E$64,"中"))</f>
        <v/>
      </c>
      <c r="D8" s="6">
        <f>IF($A8="","",MAXIFS(风险监控台账!$H$5:$H$64,风险监控台账!$A$5:$A$64,$A8))</f>
        <v/>
      </c>
      <c r="E8" s="8">
        <f>IF($A8="","",IF(B8&gt;0,"高风险",IF(C8&gt;0,"中风险","低风险")))</f>
        <v/>
      </c>
    </row>
    <row r="9">
      <c r="A9" s="4" t="n"/>
      <c r="B9" s="6">
        <f>IF($A9="","",COUNTIFS(风险监控台账!$A$5:$A$64,$A9,风险监控台账!$E$5:$E$64,"高"))</f>
        <v/>
      </c>
      <c r="C9" s="6">
        <f>IF($A9="","",COUNTIFS(风险监控台账!$A$5:$A$64,$A9,风险监控台账!$E$5:$E$64,"中"))</f>
        <v/>
      </c>
      <c r="D9" s="6">
        <f>IF($A9="","",MAXIFS(风险监控台账!$H$5:$H$64,风险监控台账!$A$5:$A$64,$A9))</f>
        <v/>
      </c>
      <c r="E9" s="8">
        <f>IF($A9="","",IF(B9&gt;0,"高风险",IF(C9&gt;0,"中风险","低风险")))</f>
        <v/>
      </c>
    </row>
    <row r="10">
      <c r="A10" s="4" t="n"/>
      <c r="B10" s="6">
        <f>IF($A10="","",COUNTIFS(风险监控台账!$A$5:$A$64,$A10,风险监控台账!$E$5:$E$64,"高"))</f>
        <v/>
      </c>
      <c r="C10" s="6">
        <f>IF($A10="","",COUNTIFS(风险监控台账!$A$5:$A$64,$A10,风险监控台账!$E$5:$E$64,"中"))</f>
        <v/>
      </c>
      <c r="D10" s="6">
        <f>IF($A10="","",MAXIFS(风险监控台账!$H$5:$H$64,风险监控台账!$A$5:$A$64,$A10))</f>
        <v/>
      </c>
      <c r="E10" s="8">
        <f>IF($A10="","",IF(B10&gt;0,"高风险",IF(C10&gt;0,"中风险","低风险")))</f>
        <v/>
      </c>
    </row>
    <row r="11">
      <c r="A11" s="4" t="n"/>
      <c r="B11" s="6">
        <f>IF($A11="","",COUNTIFS(风险监控台账!$A$5:$A$64,$A11,风险监控台账!$E$5:$E$64,"高"))</f>
        <v/>
      </c>
      <c r="C11" s="6">
        <f>IF($A11="","",COUNTIFS(风险监控台账!$A$5:$A$64,$A11,风险监控台账!$E$5:$E$64,"中"))</f>
        <v/>
      </c>
      <c r="D11" s="6">
        <f>IF($A11="","",MAXIFS(风险监控台账!$H$5:$H$64,风险监控台账!$A$5:$A$64,$A11))</f>
        <v/>
      </c>
      <c r="E11" s="8">
        <f>IF($A11="","",IF(B11&gt;0,"高风险",IF(C11&gt;0,"中风险","低风险")))</f>
        <v/>
      </c>
    </row>
    <row r="12">
      <c r="A12" s="4" t="n"/>
      <c r="B12" s="6">
        <f>IF($A12="","",COUNTIFS(风险监控台账!$A$5:$A$64,$A12,风险监控台账!$E$5:$E$64,"高"))</f>
        <v/>
      </c>
      <c r="C12" s="6">
        <f>IF($A12="","",COUNTIFS(风险监控台账!$A$5:$A$64,$A12,风险监控台账!$E$5:$E$64,"中"))</f>
        <v/>
      </c>
      <c r="D12" s="6">
        <f>IF($A12="","",MAXIFS(风险监控台账!$H$5:$H$64,风险监控台账!$A$5:$A$64,$A12))</f>
        <v/>
      </c>
      <c r="E12" s="8">
        <f>IF($A12="","",IF(B12&gt;0,"高风险",IF(C12&gt;0,"中风险","低风险")))</f>
        <v/>
      </c>
    </row>
    <row r="13">
      <c r="A13" s="4" t="n"/>
      <c r="B13" s="6">
        <f>IF($A13="","",COUNTIFS(风险监控台账!$A$5:$A$64,$A13,风险监控台账!$E$5:$E$64,"高"))</f>
        <v/>
      </c>
      <c r="C13" s="6">
        <f>IF($A13="","",COUNTIFS(风险监控台账!$A$5:$A$64,$A13,风险监控台账!$E$5:$E$64,"中"))</f>
        <v/>
      </c>
      <c r="D13" s="6">
        <f>IF($A13="","",MAXIFS(风险监控台账!$H$5:$H$64,风险监控台账!$A$5:$A$64,$A13))</f>
        <v/>
      </c>
      <c r="E13" s="8">
        <f>IF($A13="","",IF(B13&gt;0,"高风险",IF(C13&gt;0,"中风险","低风险")))</f>
        <v/>
      </c>
    </row>
    <row r="14">
      <c r="A14" s="4" t="n"/>
      <c r="B14" s="6">
        <f>IF($A14="","",COUNTIFS(风险监控台账!$A$5:$A$64,$A14,风险监控台账!$E$5:$E$64,"高"))</f>
        <v/>
      </c>
      <c r="C14" s="6">
        <f>IF($A14="","",COUNTIFS(风险监控台账!$A$5:$A$64,$A14,风险监控台账!$E$5:$E$64,"中"))</f>
        <v/>
      </c>
      <c r="D14" s="6">
        <f>IF($A14="","",MAXIFS(风险监控台账!$H$5:$H$64,风险监控台账!$A$5:$A$64,$A14))</f>
        <v/>
      </c>
      <c r="E14" s="8">
        <f>IF($A14="","",IF(B14&gt;0,"高风险",IF(C14&gt;0,"中风险","低风险")))</f>
        <v/>
      </c>
    </row>
    <row r="15">
      <c r="A15" s="4" t="n"/>
      <c r="B15" s="6">
        <f>IF($A15="","",COUNTIFS(风险监控台账!$A$5:$A$64,$A15,风险监控台账!$E$5:$E$64,"高"))</f>
        <v/>
      </c>
      <c r="C15" s="6">
        <f>IF($A15="","",COUNTIFS(风险监控台账!$A$5:$A$64,$A15,风险监控台账!$E$5:$E$64,"中"))</f>
        <v/>
      </c>
      <c r="D15" s="6">
        <f>IF($A15="","",MAXIFS(风险监控台账!$H$5:$H$64,风险监控台账!$A$5:$A$64,$A15))</f>
        <v/>
      </c>
      <c r="E15" s="8">
        <f>IF($A15="","",IF(B15&gt;0,"高风险",IF(C15&gt;0,"中风险","低风险")))</f>
        <v/>
      </c>
    </row>
    <row r="16">
      <c r="A16" s="4" t="n"/>
      <c r="B16" s="6">
        <f>IF($A16="","",COUNTIFS(风险监控台账!$A$5:$A$64,$A16,风险监控台账!$E$5:$E$64,"高"))</f>
        <v/>
      </c>
      <c r="C16" s="6">
        <f>IF($A16="","",COUNTIFS(风险监控台账!$A$5:$A$64,$A16,风险监控台账!$E$5:$E$64,"中"))</f>
        <v/>
      </c>
      <c r="D16" s="6">
        <f>IF($A16="","",MAXIFS(风险监控台账!$H$5:$H$64,风险监控台账!$A$5:$A$64,$A16))</f>
        <v/>
      </c>
      <c r="E16" s="8">
        <f>IF($A16="","",IF(B16&gt;0,"高风险",IF(C16&gt;0,"中风险","低风险")))</f>
        <v/>
      </c>
    </row>
    <row r="17">
      <c r="A17" s="4" t="n"/>
      <c r="B17" s="6">
        <f>IF($A17="","",COUNTIFS(风险监控台账!$A$5:$A$64,$A17,风险监控台账!$E$5:$E$64,"高"))</f>
        <v/>
      </c>
      <c r="C17" s="6">
        <f>IF($A17="","",COUNTIFS(风险监控台账!$A$5:$A$64,$A17,风险监控台账!$E$5:$E$64,"中"))</f>
        <v/>
      </c>
      <c r="D17" s="6">
        <f>IF($A17="","",MAXIFS(风险监控台账!$H$5:$H$64,风险监控台账!$A$5:$A$64,$A17))</f>
        <v/>
      </c>
      <c r="E17" s="8">
        <f>IF($A17="","",IF(B17&gt;0,"高风险",IF(C17&gt;0,"中风险","低风险")))</f>
        <v/>
      </c>
    </row>
    <row r="18">
      <c r="A18" s="4" t="n"/>
      <c r="B18" s="6">
        <f>IF($A18="","",COUNTIFS(风险监控台账!$A$5:$A$64,$A18,风险监控台账!$E$5:$E$64,"高"))</f>
        <v/>
      </c>
      <c r="C18" s="6">
        <f>IF($A18="","",COUNTIFS(风险监控台账!$A$5:$A$64,$A18,风险监控台账!$E$5:$E$64,"中"))</f>
        <v/>
      </c>
      <c r="D18" s="6">
        <f>IF($A18="","",MAXIFS(风险监控台账!$H$5:$H$64,风险监控台账!$A$5:$A$64,$A18))</f>
        <v/>
      </c>
      <c r="E18" s="8">
        <f>IF($A18="","",IF(B18&gt;0,"高风险",IF(C18&gt;0,"中风险","低风险")))</f>
        <v/>
      </c>
    </row>
    <row r="19">
      <c r="A19" s="4" t="n"/>
      <c r="B19" s="6">
        <f>IF($A19="","",COUNTIFS(风险监控台账!$A$5:$A$64,$A19,风险监控台账!$E$5:$E$64,"高"))</f>
        <v/>
      </c>
      <c r="C19" s="6">
        <f>IF($A19="","",COUNTIFS(风险监控台账!$A$5:$A$64,$A19,风险监控台账!$E$5:$E$64,"中"))</f>
        <v/>
      </c>
      <c r="D19" s="6">
        <f>IF($A19="","",MAXIFS(风险监控台账!$H$5:$H$64,风险监控台账!$A$5:$A$64,$A19))</f>
        <v/>
      </c>
      <c r="E19" s="8">
        <f>IF($A19="","",IF(B19&gt;0,"高风险",IF(C19&gt;0,"中风险","低风险")))</f>
        <v/>
      </c>
    </row>
    <row r="20">
      <c r="A20" s="4" t="n"/>
      <c r="B20" s="6">
        <f>IF($A20="","",COUNTIFS(风险监控台账!$A$5:$A$64,$A20,风险监控台账!$E$5:$E$64,"高"))</f>
        <v/>
      </c>
      <c r="C20" s="6">
        <f>IF($A20="","",COUNTIFS(风险监控台账!$A$5:$A$64,$A20,风险监控台账!$E$5:$E$64,"中"))</f>
        <v/>
      </c>
      <c r="D20" s="6">
        <f>IF($A20="","",MAXIFS(风险监控台账!$H$5:$H$64,风险监控台账!$A$5:$A$64,$A20))</f>
        <v/>
      </c>
      <c r="E20" s="8">
        <f>IF($A20="","",IF(B20&gt;0,"高风险",IF(C20&gt;0,"中风险","低风险")))</f>
        <v/>
      </c>
    </row>
    <row r="21">
      <c r="A21" s="4" t="n"/>
      <c r="B21" s="6">
        <f>IF($A21="","",COUNTIFS(风险监控台账!$A$5:$A$64,$A21,风险监控台账!$E$5:$E$64,"高"))</f>
        <v/>
      </c>
      <c r="C21" s="6">
        <f>IF($A21="","",COUNTIFS(风险监控台账!$A$5:$A$64,$A21,风险监控台账!$E$5:$E$64,"中"))</f>
        <v/>
      </c>
      <c r="D21" s="6">
        <f>IF($A21="","",MAXIFS(风险监控台账!$H$5:$H$64,风险监控台账!$A$5:$A$64,$A21))</f>
        <v/>
      </c>
      <c r="E21" s="8">
        <f>IF($A21="","",IF(B21&gt;0,"高风险",IF(C21&gt;0,"中风险","低风险")))</f>
        <v/>
      </c>
    </row>
    <row r="22">
      <c r="A22" s="4" t="n"/>
      <c r="B22" s="6">
        <f>IF($A22="","",COUNTIFS(风险监控台账!$A$5:$A$64,$A22,风险监控台账!$E$5:$E$64,"高"))</f>
        <v/>
      </c>
      <c r="C22" s="6">
        <f>IF($A22="","",COUNTIFS(风险监控台账!$A$5:$A$64,$A22,风险监控台账!$E$5:$E$64,"中"))</f>
        <v/>
      </c>
      <c r="D22" s="6">
        <f>IF($A22="","",MAXIFS(风险监控台账!$H$5:$H$64,风险监控台账!$A$5:$A$64,$A22))</f>
        <v/>
      </c>
      <c r="E22" s="8">
        <f>IF($A22="","",IF(B22&gt;0,"高风险",IF(C22&gt;0,"中风险","低风险")))</f>
        <v/>
      </c>
    </row>
    <row r="23">
      <c r="A23" s="4" t="n"/>
      <c r="B23" s="6">
        <f>IF($A23="","",COUNTIFS(风险监控台账!$A$5:$A$64,$A23,风险监控台账!$E$5:$E$64,"高"))</f>
        <v/>
      </c>
      <c r="C23" s="6">
        <f>IF($A23="","",COUNTIFS(风险监控台账!$A$5:$A$64,$A23,风险监控台账!$E$5:$E$64,"中"))</f>
        <v/>
      </c>
      <c r="D23" s="6">
        <f>IF($A23="","",MAXIFS(风险监控台账!$H$5:$H$64,风险监控台账!$A$5:$A$64,$A23))</f>
        <v/>
      </c>
      <c r="E23" s="8">
        <f>IF($A23="","",IF(B23&gt;0,"高风险",IF(C23&gt;0,"中风险","低风险")))</f>
        <v/>
      </c>
    </row>
    <row r="24">
      <c r="A24" s="4" t="n"/>
      <c r="B24" s="6">
        <f>IF($A24="","",COUNTIFS(风险监控台账!$A$5:$A$64,$A24,风险监控台账!$E$5:$E$64,"高"))</f>
        <v/>
      </c>
      <c r="C24" s="6">
        <f>IF($A24="","",COUNTIFS(风险监控台账!$A$5:$A$64,$A24,风险监控台账!$E$5:$E$64,"中"))</f>
        <v/>
      </c>
      <c r="D24" s="6">
        <f>IF($A24="","",MAXIFS(风险监控台账!$H$5:$H$64,风险监控台账!$A$5:$A$64,$A24))</f>
        <v/>
      </c>
      <c r="E24" s="8">
        <f>IF($A24="","",IF(B24&gt;0,"高风险",IF(C24&gt;0,"中风险","低风险")))</f>
        <v/>
      </c>
    </row>
    <row r="25">
      <c r="A25" s="4" t="n"/>
      <c r="B25" s="6">
        <f>IF($A25="","",COUNTIFS(风险监控台账!$A$5:$A$64,$A25,风险监控台账!$E$5:$E$64,"高"))</f>
        <v/>
      </c>
      <c r="C25" s="6">
        <f>IF($A25="","",COUNTIFS(风险监控台账!$A$5:$A$64,$A25,风险监控台账!$E$5:$E$64,"中"))</f>
        <v/>
      </c>
      <c r="D25" s="6">
        <f>IF($A25="","",MAXIFS(风险监控台账!$H$5:$H$64,风险监控台账!$A$5:$A$64,$A25))</f>
        <v/>
      </c>
      <c r="E25" s="8">
        <f>IF($A25="","",IF(B25&gt;0,"高风险",IF(C25&gt;0,"中风险","低风险")))</f>
        <v/>
      </c>
    </row>
    <row r="26">
      <c r="A26" s="4" t="n"/>
      <c r="B26" s="6">
        <f>IF($A26="","",COUNTIFS(风险监控台账!$A$5:$A$64,$A26,风险监控台账!$E$5:$E$64,"高"))</f>
        <v/>
      </c>
      <c r="C26" s="6">
        <f>IF($A26="","",COUNTIFS(风险监控台账!$A$5:$A$64,$A26,风险监控台账!$E$5:$E$64,"中"))</f>
        <v/>
      </c>
      <c r="D26" s="6">
        <f>IF($A26="","",MAXIFS(风险监控台账!$H$5:$H$64,风险监控台账!$A$5:$A$64,$A26))</f>
        <v/>
      </c>
      <c r="E26" s="8">
        <f>IF($A26="","",IF(B26&gt;0,"高风险",IF(C26&gt;0,"中风险","低风险")))</f>
        <v/>
      </c>
    </row>
    <row r="27">
      <c r="A27" s="4" t="n"/>
      <c r="B27" s="6">
        <f>IF($A27="","",COUNTIFS(风险监控台账!$A$5:$A$64,$A27,风险监控台账!$E$5:$E$64,"高"))</f>
        <v/>
      </c>
      <c r="C27" s="6">
        <f>IF($A27="","",COUNTIFS(风险监控台账!$A$5:$A$64,$A27,风险监控台账!$E$5:$E$64,"中"))</f>
        <v/>
      </c>
      <c r="D27" s="6">
        <f>IF($A27="","",MAXIFS(风险监控台账!$H$5:$H$64,风险监控台账!$A$5:$A$64,$A27))</f>
        <v/>
      </c>
      <c r="E27" s="8">
        <f>IF($A27="","",IF(B27&gt;0,"高风险",IF(C27&gt;0,"中风险","低风险")))</f>
        <v/>
      </c>
    </row>
    <row r="28">
      <c r="A28" s="4" t="n"/>
      <c r="B28" s="6">
        <f>IF($A28="","",COUNTIFS(风险监控台账!$A$5:$A$64,$A28,风险监控台账!$E$5:$E$64,"高"))</f>
        <v/>
      </c>
      <c r="C28" s="6">
        <f>IF($A28="","",COUNTIFS(风险监控台账!$A$5:$A$64,$A28,风险监控台账!$E$5:$E$64,"中"))</f>
        <v/>
      </c>
      <c r="D28" s="6">
        <f>IF($A28="","",MAXIFS(风险监控台账!$H$5:$H$64,风险监控台账!$A$5:$A$64,$A28))</f>
        <v/>
      </c>
      <c r="E28" s="8">
        <f>IF($A28="","",IF(B28&gt;0,"高风险",IF(C28&gt;0,"中风险","低风险")))</f>
        <v/>
      </c>
    </row>
    <row r="29">
      <c r="A29" s="4" t="n"/>
      <c r="B29" s="6">
        <f>IF($A29="","",COUNTIFS(风险监控台账!$A$5:$A$64,$A29,风险监控台账!$E$5:$E$64,"高"))</f>
        <v/>
      </c>
      <c r="C29" s="6">
        <f>IF($A29="","",COUNTIFS(风险监控台账!$A$5:$A$64,$A29,风险监控台账!$E$5:$E$64,"中"))</f>
        <v/>
      </c>
      <c r="D29" s="6">
        <f>IF($A29="","",MAXIFS(风险监控台账!$H$5:$H$64,风险监控台账!$A$5:$A$64,$A29))</f>
        <v/>
      </c>
      <c r="E29" s="8">
        <f>IF($A29="","",IF(B29&gt;0,"高风险",IF(C29&gt;0,"中风险","低风险")))</f>
        <v/>
      </c>
    </row>
    <row r="30">
      <c r="A30" s="4" t="n"/>
      <c r="B30" s="6">
        <f>IF($A30="","",COUNTIFS(风险监控台账!$A$5:$A$64,$A30,风险监控台账!$E$5:$E$64,"高"))</f>
        <v/>
      </c>
      <c r="C30" s="6">
        <f>IF($A30="","",COUNTIFS(风险监控台账!$A$5:$A$64,$A30,风险监控台账!$E$5:$E$64,"中"))</f>
        <v/>
      </c>
      <c r="D30" s="6">
        <f>IF($A30="","",MAXIFS(风险监控台账!$H$5:$H$64,风险监控台账!$A$5:$A$64,$A30))</f>
        <v/>
      </c>
      <c r="E30" s="8">
        <f>IF($A30="","",IF(B30&gt;0,"高风险",IF(C30&gt;0,"中风险","低风险")))</f>
        <v/>
      </c>
    </row>
    <row r="31">
      <c r="A31" s="4" t="n"/>
      <c r="B31" s="6">
        <f>IF($A31="","",COUNTIFS(风险监控台账!$A$5:$A$64,$A31,风险监控台账!$E$5:$E$64,"高"))</f>
        <v/>
      </c>
      <c r="C31" s="6">
        <f>IF($A31="","",COUNTIFS(风险监控台账!$A$5:$A$64,$A31,风险监控台账!$E$5:$E$64,"中"))</f>
        <v/>
      </c>
      <c r="D31" s="6">
        <f>IF($A31="","",MAXIFS(风险监控台账!$H$5:$H$64,风险监控台账!$A$5:$A$64,$A31))</f>
        <v/>
      </c>
      <c r="E31" s="8">
        <f>IF($A31="","",IF(B31&gt;0,"高风险",IF(C31&gt;0,"中风险","低风险")))</f>
        <v/>
      </c>
    </row>
    <row r="32">
      <c r="A32" s="4" t="n"/>
      <c r="B32" s="6">
        <f>IF($A32="","",COUNTIFS(风险监控台账!$A$5:$A$64,$A32,风险监控台账!$E$5:$E$64,"高"))</f>
        <v/>
      </c>
      <c r="C32" s="6">
        <f>IF($A32="","",COUNTIFS(风险监控台账!$A$5:$A$64,$A32,风险监控台账!$E$5:$E$64,"中"))</f>
        <v/>
      </c>
      <c r="D32" s="6">
        <f>IF($A32="","",MAXIFS(风险监控台账!$H$5:$H$64,风险监控台账!$A$5:$A$64,$A32))</f>
        <v/>
      </c>
      <c r="E32" s="8">
        <f>IF($A32="","",IF(B32&gt;0,"高风险",IF(C32&gt;0,"中风险","低风险")))</f>
        <v/>
      </c>
    </row>
    <row r="33">
      <c r="A33" s="4" t="n"/>
      <c r="B33" s="6">
        <f>IF($A33="","",COUNTIFS(风险监控台账!$A$5:$A$64,$A33,风险监控台账!$E$5:$E$64,"高"))</f>
        <v/>
      </c>
      <c r="C33" s="6">
        <f>IF($A33="","",COUNTIFS(风险监控台账!$A$5:$A$64,$A33,风险监控台账!$E$5:$E$64,"中"))</f>
        <v/>
      </c>
      <c r="D33" s="6">
        <f>IF($A33="","",MAXIFS(风险监控台账!$H$5:$H$64,风险监控台账!$A$5:$A$64,$A33))</f>
        <v/>
      </c>
      <c r="E33" s="8">
        <f>IF($A33="","",IF(B33&gt;0,"高风险",IF(C33&gt;0,"中风险","低风险")))</f>
        <v/>
      </c>
    </row>
    <row r="34">
      <c r="A34" s="4" t="n"/>
      <c r="B34" s="6">
        <f>IF($A34="","",COUNTIFS(风险监控台账!$A$5:$A$64,$A34,风险监控台账!$E$5:$E$64,"高"))</f>
        <v/>
      </c>
      <c r="C34" s="6">
        <f>IF($A34="","",COUNTIFS(风险监控台账!$A$5:$A$64,$A34,风险监控台账!$E$5:$E$64,"中"))</f>
        <v/>
      </c>
      <c r="D34" s="6">
        <f>IF($A34="","",MAXIFS(风险监控台账!$H$5:$H$64,风险监控台账!$A$5:$A$64,$A34))</f>
        <v/>
      </c>
      <c r="E34" s="8">
        <f>IF($A34="","",IF(B34&gt;0,"高风险",IF(C34&gt;0,"中风险","低风险")))</f>
        <v/>
      </c>
    </row>
    <row r="35">
      <c r="A35" s="4" t="n"/>
      <c r="B35" s="6">
        <f>IF($A35="","",COUNTIFS(风险监控台账!$A$5:$A$64,$A35,风险监控台账!$E$5:$E$64,"高"))</f>
        <v/>
      </c>
      <c r="C35" s="6">
        <f>IF($A35="","",COUNTIFS(风险监控台账!$A$5:$A$64,$A35,风险监控台账!$E$5:$E$64,"中"))</f>
        <v/>
      </c>
      <c r="D35" s="6">
        <f>IF($A35="","",MAXIFS(风险监控台账!$H$5:$H$64,风险监控台账!$A$5:$A$64,$A35))</f>
        <v/>
      </c>
      <c r="E35" s="8">
        <f>IF($A35="","",IF(B35&gt;0,"高风险",IF(C35&gt;0,"中风险","低风险")))</f>
        <v/>
      </c>
    </row>
    <row r="36">
      <c r="A36" s="4" t="n"/>
      <c r="B36" s="6">
        <f>IF($A36="","",COUNTIFS(风险监控台账!$A$5:$A$64,$A36,风险监控台账!$E$5:$E$64,"高"))</f>
        <v/>
      </c>
      <c r="C36" s="6">
        <f>IF($A36="","",COUNTIFS(风险监控台账!$A$5:$A$64,$A36,风险监控台账!$E$5:$E$64,"中"))</f>
        <v/>
      </c>
      <c r="D36" s="6">
        <f>IF($A36="","",MAXIFS(风险监控台账!$H$5:$H$64,风险监控台账!$A$5:$A$64,$A36))</f>
        <v/>
      </c>
      <c r="E36" s="8">
        <f>IF($A36="","",IF(B36&gt;0,"高风险",IF(C36&gt;0,"中风险","低风险")))</f>
        <v/>
      </c>
    </row>
    <row r="37">
      <c r="A37" s="4" t="n"/>
      <c r="B37" s="6">
        <f>IF($A37="","",COUNTIFS(风险监控台账!$A$5:$A$64,$A37,风险监控台账!$E$5:$E$64,"高"))</f>
        <v/>
      </c>
      <c r="C37" s="6">
        <f>IF($A37="","",COUNTIFS(风险监控台账!$A$5:$A$64,$A37,风险监控台账!$E$5:$E$64,"中"))</f>
        <v/>
      </c>
      <c r="D37" s="6">
        <f>IF($A37="","",MAXIFS(风险监控台账!$H$5:$H$64,风险监控台账!$A$5:$A$64,$A37))</f>
        <v/>
      </c>
      <c r="E37" s="8">
        <f>IF($A37="","",IF(B37&gt;0,"高风险",IF(C37&gt;0,"中风险","低风险")))</f>
        <v/>
      </c>
    </row>
    <row r="38">
      <c r="A38" s="4" t="n"/>
      <c r="B38" s="6">
        <f>IF($A38="","",COUNTIFS(风险监控台账!$A$5:$A$64,$A38,风险监控台账!$E$5:$E$64,"高"))</f>
        <v/>
      </c>
      <c r="C38" s="6">
        <f>IF($A38="","",COUNTIFS(风险监控台账!$A$5:$A$64,$A38,风险监控台账!$E$5:$E$64,"中"))</f>
        <v/>
      </c>
      <c r="D38" s="6">
        <f>IF($A38="","",MAXIFS(风险监控台账!$H$5:$H$64,风险监控台账!$A$5:$A$64,$A38))</f>
        <v/>
      </c>
      <c r="E38" s="8">
        <f>IF($A38="","",IF(B38&gt;0,"高风险",IF(C38&gt;0,"中风险","低风险")))</f>
        <v/>
      </c>
    </row>
    <row r="39">
      <c r="A39" s="4" t="n"/>
      <c r="B39" s="6">
        <f>IF($A39="","",COUNTIFS(风险监控台账!$A$5:$A$64,$A39,风险监控台账!$E$5:$E$64,"高"))</f>
        <v/>
      </c>
      <c r="C39" s="6">
        <f>IF($A39="","",COUNTIFS(风险监控台账!$A$5:$A$64,$A39,风险监控台账!$E$5:$E$64,"中"))</f>
        <v/>
      </c>
      <c r="D39" s="6">
        <f>IF($A39="","",MAXIFS(风险监控台账!$H$5:$H$64,风险监控台账!$A$5:$A$64,$A39))</f>
        <v/>
      </c>
      <c r="E39" s="8">
        <f>IF($A39="","",IF(B39&gt;0,"高风险",IF(C39&gt;0,"中风险","低风险")))</f>
        <v/>
      </c>
    </row>
    <row r="40">
      <c r="A40" s="4" t="n"/>
      <c r="B40" s="6">
        <f>IF($A40="","",COUNTIFS(风险监控台账!$A$5:$A$64,$A40,风险监控台账!$E$5:$E$64,"高"))</f>
        <v/>
      </c>
      <c r="C40" s="6">
        <f>IF($A40="","",COUNTIFS(风险监控台账!$A$5:$A$64,$A40,风险监控台账!$E$5:$E$64,"中"))</f>
        <v/>
      </c>
      <c r="D40" s="6">
        <f>IF($A40="","",MAXIFS(风险监控台账!$H$5:$H$64,风险监控台账!$A$5:$A$64,$A40))</f>
        <v/>
      </c>
      <c r="E40" s="8">
        <f>IF($A40="","",IF(B40&gt;0,"高风险",IF(C40&gt;0,"中风险","低风险")))</f>
        <v/>
      </c>
    </row>
    <row r="41">
      <c r="A41" s="4" t="n"/>
      <c r="B41" s="6">
        <f>IF($A41="","",COUNTIFS(风险监控台账!$A$5:$A$64,$A41,风险监控台账!$E$5:$E$64,"高"))</f>
        <v/>
      </c>
      <c r="C41" s="6">
        <f>IF($A41="","",COUNTIFS(风险监控台账!$A$5:$A$64,$A41,风险监控台账!$E$5:$E$64,"中"))</f>
        <v/>
      </c>
      <c r="D41" s="6">
        <f>IF($A41="","",MAXIFS(风险监控台账!$H$5:$H$64,风险监控台账!$A$5:$A$64,$A41))</f>
        <v/>
      </c>
      <c r="E41" s="8">
        <f>IF($A41="","",IF(B41&gt;0,"高风险",IF(C41&gt;0,"中风险","低风险")))</f>
        <v/>
      </c>
    </row>
    <row r="42">
      <c r="A42" s="4" t="n"/>
      <c r="B42" s="6">
        <f>IF($A42="","",COUNTIFS(风险监控台账!$A$5:$A$64,$A42,风险监控台账!$E$5:$E$64,"高"))</f>
        <v/>
      </c>
      <c r="C42" s="6">
        <f>IF($A42="","",COUNTIFS(风险监控台账!$A$5:$A$64,$A42,风险监控台账!$E$5:$E$64,"中"))</f>
        <v/>
      </c>
      <c r="D42" s="6">
        <f>IF($A42="","",MAXIFS(风险监控台账!$H$5:$H$64,风险监控台账!$A$5:$A$64,$A42))</f>
        <v/>
      </c>
      <c r="E42" s="8">
        <f>IF($A42="","",IF(B42&gt;0,"高风险",IF(C42&gt;0,"中风险","低风险")))</f>
        <v/>
      </c>
    </row>
    <row r="43">
      <c r="A43" s="4" t="n"/>
      <c r="B43" s="6">
        <f>IF($A43="","",COUNTIFS(风险监控台账!$A$5:$A$64,$A43,风险监控台账!$E$5:$E$64,"高"))</f>
        <v/>
      </c>
      <c r="C43" s="6">
        <f>IF($A43="","",COUNTIFS(风险监控台账!$A$5:$A$64,$A43,风险监控台账!$E$5:$E$64,"中"))</f>
        <v/>
      </c>
      <c r="D43" s="6">
        <f>IF($A43="","",MAXIFS(风险监控台账!$H$5:$H$64,风险监控台账!$A$5:$A$64,$A43))</f>
        <v/>
      </c>
      <c r="E43" s="8">
        <f>IF($A43="","",IF(B43&gt;0,"高风险",IF(C43&gt;0,"中风险","低风险")))</f>
        <v/>
      </c>
    </row>
    <row r="44">
      <c r="A44" s="4" t="n"/>
      <c r="B44" s="6">
        <f>IF($A44="","",COUNTIFS(风险监控台账!$A$5:$A$64,$A44,风险监控台账!$E$5:$E$64,"高"))</f>
        <v/>
      </c>
      <c r="C44" s="6">
        <f>IF($A44="","",COUNTIFS(风险监控台账!$A$5:$A$64,$A44,风险监控台账!$E$5:$E$64,"中"))</f>
        <v/>
      </c>
      <c r="D44" s="6">
        <f>IF($A44="","",MAXIFS(风险监控台账!$H$5:$H$64,风险监控台账!$A$5:$A$64,$A44))</f>
        <v/>
      </c>
      <c r="E44" s="8">
        <f>IF($A44="","",IF(B44&gt;0,"高风险",IF(C44&gt;0,"中风险","低风险")))</f>
        <v/>
      </c>
    </row>
  </sheetData>
  <conditionalFormatting sqref="E5:E44">
    <cfRule type="cellIs" priority="1" operator="equal" dxfId="0">
      <formula>"高风险"</formula>
    </cfRule>
    <cfRule type="cellIs" priority="2" operator="equal" dxfId="1">
      <formula>"中风险"</formula>
    </cfRule>
    <cfRule type="cellIs" priority="3" operator="equal" dxfId="2">
      <formula>"低风险"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2026-09-19T13:57:50Z</dcterms:created>
  <dcterms:modified xsi:type="dcterms:W3CDTF">2026-09-19T13:57:50Z</dcterms:modified>
</cp:coreProperties>
</file>