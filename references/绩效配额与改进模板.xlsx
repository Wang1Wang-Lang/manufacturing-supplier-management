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分级与配额" sheetId="1" state="visible" r:id="rId1"/>
    <sheet name="PIP改进计划" sheetId="2" state="visible" r:id="rId2"/>
    <sheet name="QCDS绩效看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pivotButton="0" quotePrefix="0" xfId="0"/>
    <xf numFmtId="164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2" customWidth="1" min="4" max="4"/>
    <col width="14" customWidth="1" min="5" max="5"/>
    <col width="12" customWidth="1" min="6" max="6"/>
    <col width="14" customWidth="1" min="7" max="7"/>
    <col width="22" customWidth="1" min="8" max="8"/>
  </cols>
  <sheetData>
    <row r="1">
      <c r="A1" s="1" t="inlineStr">
        <is>
          <t>供应商分级与配额分配（据评估等级自动给角色与建议份额）</t>
        </is>
      </c>
    </row>
    <row r="3">
      <c r="A3" s="2" t="inlineStr">
        <is>
          <t>供应商</t>
        </is>
      </c>
      <c r="B3" s="2" t="inlineStr">
        <is>
          <t>评估等级</t>
        </is>
      </c>
      <c r="C3" s="2" t="inlineStr">
        <is>
          <t>品类定位(Kraljic)</t>
        </is>
      </c>
      <c r="D3" s="2" t="inlineStr">
        <is>
          <t>当前份额(%)</t>
        </is>
      </c>
      <c r="E3" s="2" t="inlineStr">
        <is>
          <t>建议角色</t>
        </is>
      </c>
      <c r="F3" s="2" t="inlineStr">
        <is>
          <t>建议份额(%)</t>
        </is>
      </c>
      <c r="G3" s="2" t="inlineStr">
        <is>
          <t>主供/备选</t>
        </is>
      </c>
      <c r="H3" s="2" t="inlineStr">
        <is>
          <t>备注</t>
        </is>
      </c>
    </row>
    <row r="4">
      <c r="A4" s="3" t="inlineStr">
        <is>
          <t>供应商A</t>
        </is>
      </c>
      <c r="B4" s="4" t="inlineStr">
        <is>
          <t>A</t>
        </is>
      </c>
      <c r="C4" s="3" t="inlineStr">
        <is>
          <t>战略型</t>
        </is>
      </c>
      <c r="D4" s="5" t="n">
        <v>60</v>
      </c>
      <c r="E4" s="6">
        <f>IF(B4="A","战略/优选",IF(B4="B","合格",IF(B4="C","限制(帮扶)","淘汰")))</f>
        <v/>
      </c>
      <c r="F4" s="7">
        <f>IF(SUMPRODUCT((B4:B13="A")*50)+SUMPRODUCT((B4:B13="B")*30)+SUMPRODUCT((B4:B13="C")*15)=0,0,IF(B4="A",50,IF(B4="B",30,IF(B4="C",15,0)))/SUMPRODUCT((B4:B13="A")*50)+SUMPRODUCT((B4:B13="B")*30)+SUMPRODUCT((B4:B13="C")*15)*100)</f>
        <v/>
      </c>
      <c r="G4" s="6">
        <f>IF(OR(E4="战略/优选",E4="合格"),IF(D4&gt;=30,"主供","备选/并行"),"—")</f>
        <v/>
      </c>
      <c r="H4" s="8" t="n"/>
    </row>
    <row r="5">
      <c r="A5" s="3" t="inlineStr">
        <is>
          <t>供应商B</t>
        </is>
      </c>
      <c r="B5" s="4" t="inlineStr">
        <is>
          <t>B</t>
        </is>
      </c>
      <c r="C5" s="3" t="inlineStr">
        <is>
          <t>杠杆型</t>
        </is>
      </c>
      <c r="D5" s="5" t="n">
        <v>30</v>
      </c>
      <c r="E5" s="6">
        <f>IF(B5="A","战略/优选",IF(B5="B","合格",IF(B5="C","限制(帮扶)","淘汰")))</f>
        <v/>
      </c>
      <c r="F5" s="7">
        <f>IF(SUMPRODUCT((B4:B13="A")*50)+SUMPRODUCT((B4:B13="B")*30)+SUMPRODUCT((B4:B13="C")*15)=0,0,IF(B5="A",50,IF(B5="B",30,IF(B5="C",15,0)))/SUMPRODUCT((B4:B13="A")*50)+SUMPRODUCT((B4:B13="B")*30)+SUMPRODUCT((B4:B13="C")*15)*100)</f>
        <v/>
      </c>
      <c r="G5" s="6">
        <f>IF(OR(E5="战略/优选",E5="合格"),IF(D5&gt;=30,"主供","备选/并行"),"—")</f>
        <v/>
      </c>
      <c r="H5" s="8" t="n"/>
    </row>
    <row r="6">
      <c r="A6" s="3" t="inlineStr">
        <is>
          <t>供应商C</t>
        </is>
      </c>
      <c r="B6" s="4" t="inlineStr">
        <is>
          <t>C</t>
        </is>
      </c>
      <c r="C6" s="3" t="inlineStr">
        <is>
          <t>瓶颈型</t>
        </is>
      </c>
      <c r="D6" s="5" t="n">
        <v>10</v>
      </c>
      <c r="E6" s="6">
        <f>IF(B6="A","战略/优选",IF(B6="B","合格",IF(B6="C","限制(帮扶)","淘汰")))</f>
        <v/>
      </c>
      <c r="F6" s="7">
        <f>IF(SUMPRODUCT((B4:B13="A")*50)+SUMPRODUCT((B4:B13="B")*30)+SUMPRODUCT((B4:B13="C")*15)=0,0,IF(B6="A",50,IF(B6="B",30,IF(B6="C",15,0)))/SUMPRODUCT((B4:B13="A")*50)+SUMPRODUCT((B4:B13="B")*30)+SUMPRODUCT((B4:B13="C")*15)*100)</f>
        <v/>
      </c>
      <c r="G6" s="6">
        <f>IF(OR(E6="战略/优选",E6="合格"),IF(D6&gt;=30,"主供","备选/并行"),"—")</f>
        <v/>
      </c>
      <c r="H6" s="8" t="n"/>
    </row>
    <row r="7">
      <c r="A7" s="3" t="inlineStr">
        <is>
          <t>供应商D</t>
        </is>
      </c>
      <c r="B7" s="4" t="inlineStr">
        <is>
          <t>D</t>
        </is>
      </c>
      <c r="C7" s="3" t="inlineStr">
        <is>
          <t>杠杆型</t>
        </is>
      </c>
      <c r="D7" s="5" t="n">
        <v>0</v>
      </c>
      <c r="E7" s="6">
        <f>IF(B7="A","战略/优选",IF(B7="B","合格",IF(B7="C","限制(帮扶)","淘汰")))</f>
        <v/>
      </c>
      <c r="F7" s="7">
        <f>IF(SUMPRODUCT((B4:B13="A")*50)+SUMPRODUCT((B4:B13="B")*30)+SUMPRODUCT((B4:B13="C")*15)=0,0,IF(B7="A",50,IF(B7="B",30,IF(B7="C",15,0)))/SUMPRODUCT((B4:B13="A")*50)+SUMPRODUCT((B4:B13="B")*30)+SUMPRODUCT((B4:B13="C")*15)*100)</f>
        <v/>
      </c>
      <c r="G7" s="6">
        <f>IF(OR(E7="战略/优选",E7="合格"),IF(D7&gt;=30,"主供","备选/并行"),"—")</f>
        <v/>
      </c>
      <c r="H7" s="8" t="n"/>
    </row>
    <row r="8">
      <c r="A8" s="3" t="n"/>
      <c r="B8" s="4" t="n"/>
      <c r="C8" s="3" t="n"/>
      <c r="D8" s="5" t="n"/>
      <c r="E8" s="6">
        <f>IF(B8="A","战略/优选",IF(B8="B","合格",IF(B8="C","限制(帮扶)","淘汰")))</f>
        <v/>
      </c>
      <c r="F8" s="7">
        <f>IF(SUMPRODUCT((B4:B13="A")*50)+SUMPRODUCT((B4:B13="B")*30)+SUMPRODUCT((B4:B13="C")*15)=0,0,IF(B8="A",50,IF(B8="B",30,IF(B8="C",15,0)))/SUMPRODUCT((B4:B13="A")*50)+SUMPRODUCT((B4:B13="B")*30)+SUMPRODUCT((B4:B13="C")*15)*100)</f>
        <v/>
      </c>
      <c r="G8" s="6">
        <f>IF(OR(E8="战略/优选",E8="合格"),IF(D8&gt;=30,"主供","备选/并行"),"—")</f>
        <v/>
      </c>
      <c r="H8" s="8" t="n"/>
    </row>
    <row r="9">
      <c r="A9" s="3" t="n"/>
      <c r="B9" s="4" t="n"/>
      <c r="C9" s="3" t="n"/>
      <c r="D9" s="5" t="n"/>
      <c r="E9" s="6">
        <f>IF(B9="A","战略/优选",IF(B9="B","合格",IF(B9="C","限制(帮扶)","淘汰")))</f>
        <v/>
      </c>
      <c r="F9" s="7">
        <f>IF(SUMPRODUCT((B4:B13="A")*50)+SUMPRODUCT((B4:B13="B")*30)+SUMPRODUCT((B4:B13="C")*15)=0,0,IF(B9="A",50,IF(B9="B",30,IF(B9="C",15,0)))/SUMPRODUCT((B4:B13="A")*50)+SUMPRODUCT((B4:B13="B")*30)+SUMPRODUCT((B4:B13="C")*15)*100)</f>
        <v/>
      </c>
      <c r="G9" s="6">
        <f>IF(OR(E9="战略/优选",E9="合格"),IF(D9&gt;=30,"主供","备选/并行"),"—")</f>
        <v/>
      </c>
      <c r="H9" s="8" t="n"/>
    </row>
    <row r="10">
      <c r="A10" s="3" t="n"/>
      <c r="B10" s="4" t="n"/>
      <c r="C10" s="3" t="n"/>
      <c r="D10" s="5" t="n"/>
      <c r="E10" s="6">
        <f>IF(B10="A","战略/优选",IF(B10="B","合格",IF(B10="C","限制(帮扶)","淘汰")))</f>
        <v/>
      </c>
      <c r="F10" s="7">
        <f>IF(SUMPRODUCT((B4:B13="A")*50)+SUMPRODUCT((B4:B13="B")*30)+SUMPRODUCT((B4:B13="C")*15)=0,0,IF(B10="A",50,IF(B10="B",30,IF(B10="C",15,0)))/SUMPRODUCT((B4:B13="A")*50)+SUMPRODUCT((B4:B13="B")*30)+SUMPRODUCT((B4:B13="C")*15)*100)</f>
        <v/>
      </c>
      <c r="G10" s="6">
        <f>IF(OR(E10="战略/优选",E10="合格"),IF(D10&gt;=30,"主供","备选/并行"),"—")</f>
        <v/>
      </c>
      <c r="H10" s="8" t="n"/>
    </row>
    <row r="11">
      <c r="A11" s="3" t="n"/>
      <c r="B11" s="4" t="n"/>
      <c r="C11" s="3" t="n"/>
      <c r="D11" s="5" t="n"/>
      <c r="E11" s="6">
        <f>IF(B11="A","战略/优选",IF(B11="B","合格",IF(B11="C","限制(帮扶)","淘汰")))</f>
        <v/>
      </c>
      <c r="F11" s="7">
        <f>IF(SUMPRODUCT((B4:B13="A")*50)+SUMPRODUCT((B4:B13="B")*30)+SUMPRODUCT((B4:B13="C")*15)=0,0,IF(B11="A",50,IF(B11="B",30,IF(B11="C",15,0)))/SUMPRODUCT((B4:B13="A")*50)+SUMPRODUCT((B4:B13="B")*30)+SUMPRODUCT((B4:B13="C")*15)*100)</f>
        <v/>
      </c>
      <c r="G11" s="6">
        <f>IF(OR(E11="战略/优选",E11="合格"),IF(D11&gt;=30,"主供","备选/并行"),"—")</f>
        <v/>
      </c>
      <c r="H11" s="8" t="n"/>
    </row>
    <row r="12">
      <c r="A12" s="3" t="n"/>
      <c r="B12" s="4" t="n"/>
      <c r="C12" s="3" t="n"/>
      <c r="D12" s="5" t="n"/>
      <c r="E12" s="6">
        <f>IF(B12="A","战略/优选",IF(B12="B","合格",IF(B12="C","限制(帮扶)","淘汰")))</f>
        <v/>
      </c>
      <c r="F12" s="7">
        <f>IF(SUMPRODUCT((B4:B13="A")*50)+SUMPRODUCT((B4:B13="B")*30)+SUMPRODUCT((B4:B13="C")*15)=0,0,IF(B12="A",50,IF(B12="B",30,IF(B12="C",15,0)))/SUMPRODUCT((B4:B13="A")*50)+SUMPRODUCT((B4:B13="B")*30)+SUMPRODUCT((B4:B13="C")*15)*100)</f>
        <v/>
      </c>
      <c r="G12" s="6">
        <f>IF(OR(E12="战略/优选",E12="合格"),IF(D12&gt;=30,"主供","备选/并行"),"—")</f>
        <v/>
      </c>
      <c r="H12" s="8" t="n"/>
    </row>
    <row r="13">
      <c r="A13" s="3" t="n"/>
      <c r="B13" s="4" t="n"/>
      <c r="C13" s="3" t="n"/>
      <c r="D13" s="5" t="n"/>
      <c r="E13" s="6">
        <f>IF(B13="A","战略/优选",IF(B13="B","合格",IF(B13="C","限制(帮扶)","淘汰")))</f>
        <v/>
      </c>
      <c r="F13" s="7">
        <f>IF(SUMPRODUCT((B4:B13="A")*50)+SUMPRODUCT((B4:B13="B")*30)+SUMPRODUCT((B4:B13="C")*15)=0,0,IF(B13="A",50,IF(B13="B",30,IF(B13="C",15,0)))/SUMPRODUCT((B4:B13="A")*50)+SUMPRODUCT((B4:B13="B")*30)+SUMPRODUCT((B4:B13="C")*15)*100)</f>
        <v/>
      </c>
      <c r="G13" s="6">
        <f>IF(OR(E13="战略/优选",E13="合格"),IF(D13&gt;=30,"主供","备选/并行"),"—")</f>
        <v/>
      </c>
      <c r="H13" s="8" t="n"/>
    </row>
    <row r="14">
      <c r="A14" s="9" t="inlineStr">
        <is>
          <t>合计</t>
        </is>
      </c>
      <c r="D14" s="10">
        <f>SUM(D4:D13)</f>
        <v/>
      </c>
      <c r="F14" s="10">
        <f>SUM(F4:F13)</f>
        <v/>
      </c>
    </row>
    <row r="16">
      <c r="A16" s="11" t="inlineStr">
        <is>
          <t>建议份额合计校验：</t>
        </is>
      </c>
      <c r="D16">
        <f>F14</f>
        <v/>
      </c>
      <c r="E16" s="12">
        <f>IF(ABS(F14-100)&lt;=0.5,"OK ✅ 合计≈100%","⚠️ 建议份额合计需≈100%，请按角色微调")</f>
        <v/>
      </c>
    </row>
  </sheetData>
  <mergeCells count="1">
    <mergeCell ref="A1:H1"/>
  </mergeCells>
  <dataValidations count="2">
    <dataValidation sqref="B4:B13" showDropDown="0" showInputMessage="0" showErrorMessage="0" allowBlank="1" type="list">
      <formula1>"A,B,C,D"</formula1>
    </dataValidation>
    <dataValidation sqref="C4:C13" showDropDown="0" showInputMessage="0" showErrorMessage="0" allowBlank="1" type="list">
      <formula1>"战略型,杠杆型,瓶颈型,非关键型"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30" customWidth="1" min="4" max="4"/>
    <col width="30" customWidth="1" min="5" max="5"/>
    <col width="14" customWidth="1" min="6" max="6"/>
    <col width="12" customWidth="1" min="7" max="7"/>
    <col width="12" customWidth="1" min="8" max="8"/>
    <col width="24" customWidth="1" min="9" max="9"/>
    <col width="10" customWidth="1" min="10" max="10"/>
    <col width="18" customWidth="1" min="11" max="11"/>
  </cols>
  <sheetData>
    <row r="1">
      <c r="A1" s="1" t="inlineStr">
        <is>
          <t>PIP 改进计划闭环（问题→根因→措施→责任→期限→验收→闭环）</t>
        </is>
      </c>
    </row>
    <row r="3">
      <c r="A3" s="2" t="inlineStr">
        <is>
          <t>编号</t>
        </is>
      </c>
      <c r="B3" s="2" t="inlineStr">
        <is>
          <t>供应商</t>
        </is>
      </c>
      <c r="C3" s="2" t="inlineStr">
        <is>
          <t>问题/短板</t>
        </is>
      </c>
      <c r="D3" s="2" t="inlineStr">
        <is>
          <t>根因分析</t>
        </is>
      </c>
      <c r="E3" s="2" t="inlineStr">
        <is>
          <t>改进措施</t>
        </is>
      </c>
      <c r="F3" s="2" t="inlineStr">
        <is>
          <t>责任部门/人</t>
        </is>
      </c>
      <c r="G3" s="2" t="inlineStr">
        <is>
          <t>计划完成</t>
        </is>
      </c>
      <c r="H3" s="2" t="inlineStr">
        <is>
          <t>实际完成</t>
        </is>
      </c>
      <c r="I3" s="2" t="inlineStr">
        <is>
          <t>验收标准</t>
        </is>
      </c>
      <c r="J3" s="2" t="inlineStr">
        <is>
          <t>状态</t>
        </is>
      </c>
      <c r="K3" s="2" t="inlineStr">
        <is>
          <t>闭环证据</t>
        </is>
      </c>
    </row>
    <row r="4">
      <c r="A4" s="4" t="inlineStr">
        <is>
          <t>PIP-001</t>
        </is>
      </c>
      <c r="B4" s="8" t="inlineStr">
        <is>
          <t>供应商C</t>
        </is>
      </c>
      <c r="C4" s="8" t="inlineStr">
        <is>
          <t>来料批次合格率 92%，低于目标 98%</t>
        </is>
      </c>
      <c r="D4" s="8" t="inlineStr">
        <is>
          <t>检验工序 SPC 未落地，首件确认流于形式</t>
        </is>
      </c>
      <c r="E4" s="8" t="inlineStr">
        <is>
          <t>导入 SPC+首件双签，每周复盘</t>
        </is>
      </c>
      <c r="F4" s="8" t="inlineStr">
        <is>
          <t>质量部/王工</t>
        </is>
      </c>
      <c r="G4" s="13" t="inlineStr">
        <is>
          <t>2026-11-30</t>
        </is>
      </c>
      <c r="H4" s="13" t="n"/>
      <c r="I4" s="8" t="inlineStr">
        <is>
          <t>合格率连续 4 周 ≥98%</t>
        </is>
      </c>
      <c r="J4" s="13" t="inlineStr">
        <is>
          <t>进行中</t>
        </is>
      </c>
      <c r="K4" s="8" t="n"/>
    </row>
    <row r="5">
      <c r="A5" s="4" t="n"/>
      <c r="B5" s="8" t="n"/>
      <c r="C5" s="8" t="n"/>
      <c r="D5" s="8" t="n"/>
      <c r="E5" s="8" t="n"/>
      <c r="F5" s="8" t="n"/>
      <c r="G5" s="13" t="n"/>
      <c r="H5" s="13" t="n"/>
      <c r="I5" s="8" t="n"/>
      <c r="J5" s="13" t="n"/>
      <c r="K5" s="8" t="n"/>
    </row>
    <row r="6">
      <c r="A6" s="4" t="n"/>
      <c r="B6" s="8" t="n"/>
      <c r="C6" s="8" t="n"/>
      <c r="D6" s="8" t="n"/>
      <c r="E6" s="8" t="n"/>
      <c r="F6" s="8" t="n"/>
      <c r="G6" s="13" t="n"/>
      <c r="H6" s="13" t="n"/>
      <c r="I6" s="8" t="n"/>
      <c r="J6" s="13" t="n"/>
      <c r="K6" s="8" t="n"/>
    </row>
    <row r="7">
      <c r="A7" s="4" t="n"/>
      <c r="B7" s="8" t="n"/>
      <c r="C7" s="8" t="n"/>
      <c r="D7" s="8" t="n"/>
      <c r="E7" s="8" t="n"/>
      <c r="F7" s="8" t="n"/>
      <c r="G7" s="13" t="n"/>
      <c r="H7" s="13" t="n"/>
      <c r="I7" s="8" t="n"/>
      <c r="J7" s="13" t="n"/>
      <c r="K7" s="8" t="n"/>
    </row>
    <row r="8">
      <c r="A8" s="4" t="n"/>
      <c r="B8" s="8" t="n"/>
      <c r="C8" s="8" t="n"/>
      <c r="D8" s="8" t="n"/>
      <c r="E8" s="8" t="n"/>
      <c r="F8" s="8" t="n"/>
      <c r="G8" s="13" t="n"/>
      <c r="H8" s="13" t="n"/>
      <c r="I8" s="8" t="n"/>
      <c r="J8" s="13" t="n"/>
      <c r="K8" s="8" t="n"/>
    </row>
    <row r="9">
      <c r="A9" s="4" t="n"/>
      <c r="B9" s="8" t="n"/>
      <c r="C9" s="8" t="n"/>
      <c r="D9" s="8" t="n"/>
      <c r="E9" s="8" t="n"/>
      <c r="F9" s="8" t="n"/>
      <c r="G9" s="13" t="n"/>
      <c r="H9" s="13" t="n"/>
      <c r="I9" s="8" t="n"/>
      <c r="J9" s="13" t="n"/>
      <c r="K9" s="8" t="n"/>
    </row>
    <row r="10">
      <c r="A10" s="4" t="n"/>
      <c r="B10" s="8" t="n"/>
      <c r="C10" s="8" t="n"/>
      <c r="D10" s="8" t="n"/>
      <c r="E10" s="8" t="n"/>
      <c r="F10" s="8" t="n"/>
      <c r="G10" s="13" t="n"/>
      <c r="H10" s="13" t="n"/>
      <c r="I10" s="8" t="n"/>
      <c r="J10" s="13" t="n"/>
      <c r="K10" s="8" t="n"/>
    </row>
    <row r="11">
      <c r="A11" s="4" t="n"/>
      <c r="B11" s="8" t="n"/>
      <c r="C11" s="8" t="n"/>
      <c r="D11" s="8" t="n"/>
      <c r="E11" s="8" t="n"/>
      <c r="F11" s="8" t="n"/>
      <c r="G11" s="13" t="n"/>
      <c r="H11" s="13" t="n"/>
      <c r="I11" s="8" t="n"/>
      <c r="J11" s="13" t="n"/>
      <c r="K11" s="8" t="n"/>
    </row>
    <row r="12">
      <c r="A12" s="4" t="n"/>
      <c r="B12" s="8" t="n"/>
      <c r="C12" s="8" t="n"/>
      <c r="D12" s="8" t="n"/>
      <c r="E12" s="8" t="n"/>
      <c r="F12" s="8" t="n"/>
      <c r="G12" s="13" t="n"/>
      <c r="H12" s="13" t="n"/>
      <c r="I12" s="8" t="n"/>
      <c r="J12" s="13" t="n"/>
      <c r="K12" s="8" t="n"/>
    </row>
    <row r="13">
      <c r="A13" s="4" t="n"/>
      <c r="B13" s="8" t="n"/>
      <c r="C13" s="8" t="n"/>
      <c r="D13" s="8" t="n"/>
      <c r="E13" s="8" t="n"/>
      <c r="F13" s="8" t="n"/>
      <c r="G13" s="13" t="n"/>
      <c r="H13" s="13" t="n"/>
      <c r="I13" s="8" t="n"/>
      <c r="J13" s="13" t="n"/>
      <c r="K13" s="8" t="n"/>
    </row>
    <row r="14">
      <c r="A14" s="4" t="n"/>
      <c r="B14" s="8" t="n"/>
      <c r="C14" s="8" t="n"/>
      <c r="D14" s="8" t="n"/>
      <c r="E14" s="8" t="n"/>
      <c r="F14" s="8" t="n"/>
      <c r="G14" s="13" t="n"/>
      <c r="H14" s="13" t="n"/>
      <c r="I14" s="8" t="n"/>
      <c r="J14" s="13" t="n"/>
      <c r="K14" s="8" t="n"/>
    </row>
    <row r="15">
      <c r="A15" s="4" t="n"/>
      <c r="B15" s="8" t="n"/>
      <c r="C15" s="8" t="n"/>
      <c r="D15" s="8" t="n"/>
      <c r="E15" s="8" t="n"/>
      <c r="F15" s="8" t="n"/>
      <c r="G15" s="13" t="n"/>
      <c r="H15" s="13" t="n"/>
      <c r="I15" s="8" t="n"/>
      <c r="J15" s="13" t="n"/>
      <c r="K15" s="8" t="n"/>
    </row>
  </sheetData>
  <mergeCells count="1">
    <mergeCell ref="A1:K1"/>
  </mergeCells>
  <conditionalFormatting sqref="A4:K15">
    <cfRule type="expression" priority="1" dxfId="0">
      <formula>AND($H4="",$G4&lt;TODAY())</formula>
    </cfRule>
    <cfRule type="expression" priority="2" dxfId="1">
      <formula>$J4="已完成"</formula>
    </cfRule>
  </conditionalFormatting>
  <dataValidations count="1">
    <dataValidation sqref="J4:J15" showDropDown="0" showInputMessage="0" showErrorMessage="0" allowBlank="1" type="list">
      <formula1>"进行中,已完成,逾期"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QCDS 月度绩效看板（质量/成本/交付/服务 加权评分）</t>
        </is>
      </c>
    </row>
    <row r="3">
      <c r="A3" s="2" t="inlineStr">
        <is>
          <t>供应商</t>
        </is>
      </c>
      <c r="B3" s="2" t="inlineStr">
        <is>
          <t>月份</t>
        </is>
      </c>
      <c r="C3" s="2" t="inlineStr">
        <is>
          <t>交付达成率%</t>
        </is>
      </c>
      <c r="D3" s="2" t="inlineStr">
        <is>
          <t>批次合格率%</t>
        </is>
      </c>
      <c r="E3" s="2" t="inlineStr">
        <is>
          <t>PPM</t>
        </is>
      </c>
      <c r="F3" s="2" t="inlineStr">
        <is>
          <t>抱怨次数</t>
        </is>
      </c>
      <c r="G3" s="2" t="inlineStr">
        <is>
          <t>COPQ(元)</t>
        </is>
      </c>
      <c r="H3" s="2" t="inlineStr">
        <is>
          <t>质量分(1-5)</t>
        </is>
      </c>
      <c r="I3" s="2" t="inlineStr">
        <is>
          <t>成本分(1-5)</t>
        </is>
      </c>
      <c r="J3" s="2" t="inlineStr">
        <is>
          <t>交付分(1-5)</t>
        </is>
      </c>
      <c r="K3" s="2" t="inlineStr">
        <is>
          <t>服务分(1-5)</t>
        </is>
      </c>
      <c r="L3" s="2" t="inlineStr">
        <is>
          <t>综合(100)</t>
        </is>
      </c>
      <c r="M3" s="2" t="inlineStr">
        <is>
          <t>等级</t>
        </is>
      </c>
    </row>
    <row r="4">
      <c r="A4" s="3" t="inlineStr">
        <is>
          <t>供应商A</t>
        </is>
      </c>
      <c r="B4" s="3" t="inlineStr">
        <is>
          <t>2026-08</t>
        </is>
      </c>
      <c r="C4" s="14" t="n"/>
      <c r="D4" s="14" t="n"/>
      <c r="E4" s="14" t="n"/>
      <c r="F4" s="14" t="n"/>
      <c r="G4" s="14" t="n"/>
      <c r="H4" s="4" t="n">
        <v>5</v>
      </c>
      <c r="I4" s="4" t="n">
        <v>4</v>
      </c>
      <c r="J4" s="4" t="n">
        <v>5</v>
      </c>
      <c r="K4" s="4" t="n">
        <v>4</v>
      </c>
      <c r="L4" s="7">
        <f>((H4*0.3+I4*0.2+J4*0.25+K4*0.25)*20)</f>
        <v/>
      </c>
      <c r="M4" s="15">
        <f>IF(L4&gt;=85,"A",IF(L4&gt;=70,"B",IF(L4&gt;=60,"C","D")))</f>
        <v/>
      </c>
    </row>
    <row r="5">
      <c r="A5" s="3" t="inlineStr">
        <is>
          <t>供应商B</t>
        </is>
      </c>
      <c r="B5" s="3" t="inlineStr">
        <is>
          <t>2026-08</t>
        </is>
      </c>
      <c r="C5" s="14" t="n"/>
      <c r="D5" s="14" t="n"/>
      <c r="E5" s="14" t="n"/>
      <c r="F5" s="14" t="n"/>
      <c r="G5" s="14" t="n"/>
      <c r="H5" s="4" t="n">
        <v>3</v>
      </c>
      <c r="I5" s="4" t="n">
        <v>3</v>
      </c>
      <c r="J5" s="4" t="n">
        <v>4</v>
      </c>
      <c r="K5" s="4" t="n">
        <v>3</v>
      </c>
      <c r="L5" s="7">
        <f>((H5*0.3+I5*0.2+J5*0.25+K5*0.25)*20)</f>
        <v/>
      </c>
      <c r="M5" s="15">
        <f>IF(L5&gt;=85,"A",IF(L5&gt;=70,"B",IF(L5&gt;=60,"C","D")))</f>
        <v/>
      </c>
    </row>
    <row r="6">
      <c r="A6" s="3" t="n"/>
      <c r="B6" s="3" t="n"/>
      <c r="C6" s="14" t="n"/>
      <c r="D6" s="14" t="n"/>
      <c r="E6" s="14" t="n"/>
      <c r="F6" s="14" t="n"/>
      <c r="G6" s="14" t="n"/>
      <c r="H6" s="4" t="n"/>
      <c r="I6" s="4" t="n"/>
      <c r="J6" s="4" t="n"/>
      <c r="K6" s="4" t="n"/>
      <c r="L6" s="7">
        <f>((H6*0.3+I6*0.2+J6*0.25+K6*0.25)*20)</f>
        <v/>
      </c>
      <c r="M6" s="15">
        <f>IF(L6&gt;=85,"A",IF(L6&gt;=70,"B",IF(L6&gt;=60,"C","D")))</f>
        <v/>
      </c>
    </row>
    <row r="7">
      <c r="A7" s="3" t="n"/>
      <c r="B7" s="3" t="n"/>
      <c r="C7" s="14" t="n"/>
      <c r="D7" s="14" t="n"/>
      <c r="E7" s="14" t="n"/>
      <c r="F7" s="14" t="n"/>
      <c r="G7" s="14" t="n"/>
      <c r="H7" s="4" t="n"/>
      <c r="I7" s="4" t="n"/>
      <c r="J7" s="4" t="n"/>
      <c r="K7" s="4" t="n"/>
      <c r="L7" s="7">
        <f>((H7*0.3+I7*0.2+J7*0.25+K7*0.25)*20)</f>
        <v/>
      </c>
      <c r="M7" s="15">
        <f>IF(L7&gt;=85,"A",IF(L7&gt;=70,"B",IF(L7&gt;=60,"C","D")))</f>
        <v/>
      </c>
    </row>
    <row r="8">
      <c r="A8" s="3" t="n"/>
      <c r="B8" s="3" t="n"/>
      <c r="C8" s="14" t="n"/>
      <c r="D8" s="14" t="n"/>
      <c r="E8" s="14" t="n"/>
      <c r="F8" s="14" t="n"/>
      <c r="G8" s="14" t="n"/>
      <c r="H8" s="4" t="n"/>
      <c r="I8" s="4" t="n"/>
      <c r="J8" s="4" t="n"/>
      <c r="K8" s="4" t="n"/>
      <c r="L8" s="7">
        <f>((H8*0.3+I8*0.2+J8*0.25+K8*0.25)*20)</f>
        <v/>
      </c>
      <c r="M8" s="15">
        <f>IF(L8&gt;=85,"A",IF(L8&gt;=70,"B",IF(L8&gt;=60,"C","D")))</f>
        <v/>
      </c>
    </row>
    <row r="9">
      <c r="A9" s="3" t="n"/>
      <c r="B9" s="3" t="n"/>
      <c r="C9" s="14" t="n"/>
      <c r="D9" s="14" t="n"/>
      <c r="E9" s="14" t="n"/>
      <c r="F9" s="14" t="n"/>
      <c r="G9" s="14" t="n"/>
      <c r="H9" s="4" t="n"/>
      <c r="I9" s="4" t="n"/>
      <c r="J9" s="4" t="n"/>
      <c r="K9" s="4" t="n"/>
      <c r="L9" s="7">
        <f>((H9*0.3+I9*0.2+J9*0.25+K9*0.25)*20)</f>
        <v/>
      </c>
      <c r="M9" s="15">
        <f>IF(L9&gt;=85,"A",IF(L9&gt;=70,"B",IF(L9&gt;=60,"C","D")))</f>
        <v/>
      </c>
    </row>
    <row r="10">
      <c r="A10" s="3" t="n"/>
      <c r="B10" s="3" t="n"/>
      <c r="C10" s="14" t="n"/>
      <c r="D10" s="14" t="n"/>
      <c r="E10" s="14" t="n"/>
      <c r="F10" s="14" t="n"/>
      <c r="G10" s="14" t="n"/>
      <c r="H10" s="4" t="n"/>
      <c r="I10" s="4" t="n"/>
      <c r="J10" s="4" t="n"/>
      <c r="K10" s="4" t="n"/>
      <c r="L10" s="7">
        <f>((H10*0.3+I10*0.2+J10*0.25+K10*0.25)*20)</f>
        <v/>
      </c>
      <c r="M10" s="15">
        <f>IF(L10&gt;=85,"A",IF(L10&gt;=70,"B",IF(L10&gt;=60,"C","D")))</f>
        <v/>
      </c>
    </row>
    <row r="11">
      <c r="A11" s="3" t="n"/>
      <c r="B11" s="3" t="n"/>
      <c r="C11" s="14" t="n"/>
      <c r="D11" s="14" t="n"/>
      <c r="E11" s="14" t="n"/>
      <c r="F11" s="14" t="n"/>
      <c r="G11" s="14" t="n"/>
      <c r="H11" s="4" t="n"/>
      <c r="I11" s="4" t="n"/>
      <c r="J11" s="4" t="n"/>
      <c r="K11" s="4" t="n"/>
      <c r="L11" s="7">
        <f>((H11*0.3+I11*0.2+J11*0.25+K11*0.25)*20)</f>
        <v/>
      </c>
      <c r="M11" s="15">
        <f>IF(L11&gt;=85,"A",IF(L11&gt;=70,"B",IF(L11&gt;=60,"C","D")))</f>
        <v/>
      </c>
    </row>
    <row r="12">
      <c r="A12" s="3" t="n"/>
      <c r="B12" s="3" t="n"/>
      <c r="C12" s="14" t="n"/>
      <c r="D12" s="14" t="n"/>
      <c r="E12" s="14" t="n"/>
      <c r="F12" s="14" t="n"/>
      <c r="G12" s="14" t="n"/>
      <c r="H12" s="4" t="n"/>
      <c r="I12" s="4" t="n"/>
      <c r="J12" s="4" t="n"/>
      <c r="K12" s="4" t="n"/>
      <c r="L12" s="7">
        <f>((H12*0.3+I12*0.2+J12*0.25+K12*0.25)*20)</f>
        <v/>
      </c>
      <c r="M12" s="15">
        <f>IF(L12&gt;=85,"A",IF(L12&gt;=70,"B",IF(L12&gt;=60,"C","D")))</f>
        <v/>
      </c>
    </row>
    <row r="13">
      <c r="A13" s="3" t="n"/>
      <c r="B13" s="3" t="n"/>
      <c r="C13" s="14" t="n"/>
      <c r="D13" s="14" t="n"/>
      <c r="E13" s="14" t="n"/>
      <c r="F13" s="14" t="n"/>
      <c r="G13" s="14" t="n"/>
      <c r="H13" s="4" t="n"/>
      <c r="I13" s="4" t="n"/>
      <c r="J13" s="4" t="n"/>
      <c r="K13" s="4" t="n"/>
      <c r="L13" s="7">
        <f>((H13*0.3+I13*0.2+J13*0.25+K13*0.25)*20)</f>
        <v/>
      </c>
      <c r="M13" s="15">
        <f>IF(L13&gt;=85,"A",IF(L13&gt;=70,"B",IF(L13&gt;=60,"C","D")))</f>
        <v/>
      </c>
    </row>
    <row r="14">
      <c r="A14" s="3" t="n"/>
      <c r="B14" s="3" t="n"/>
      <c r="C14" s="14" t="n"/>
      <c r="D14" s="14" t="n"/>
      <c r="E14" s="14" t="n"/>
      <c r="F14" s="14" t="n"/>
      <c r="G14" s="14" t="n"/>
      <c r="H14" s="4" t="n"/>
      <c r="I14" s="4" t="n"/>
      <c r="J14" s="4" t="n"/>
      <c r="K14" s="4" t="n"/>
      <c r="L14" s="7">
        <f>((H14*0.3+I14*0.2+J14*0.25+K14*0.25)*20)</f>
        <v/>
      </c>
      <c r="M14" s="15">
        <f>IF(L14&gt;=85,"A",IF(L14&gt;=70,"B",IF(L14&gt;=60,"C","D")))</f>
        <v/>
      </c>
    </row>
    <row r="15">
      <c r="A15" s="3" t="n"/>
      <c r="B15" s="3" t="n"/>
      <c r="C15" s="14" t="n"/>
      <c r="D15" s="14" t="n"/>
      <c r="E15" s="14" t="n"/>
      <c r="F15" s="14" t="n"/>
      <c r="G15" s="14" t="n"/>
      <c r="H15" s="4" t="n"/>
      <c r="I15" s="4" t="n"/>
      <c r="J15" s="4" t="n"/>
      <c r="K15" s="4" t="n"/>
      <c r="L15" s="7">
        <f>((H15*0.3+I15*0.2+J15*0.25+K15*0.25)*20)</f>
        <v/>
      </c>
      <c r="M15" s="15">
        <f>IF(L15&gt;=85,"A",IF(L15&gt;=70,"B",IF(L15&gt;=60,"C","D")))</f>
        <v/>
      </c>
    </row>
  </sheetData>
  <mergeCells count="1">
    <mergeCell ref="A1:M1"/>
  </mergeCells>
  <conditionalFormatting sqref="M4:M15">
    <cfRule type="expression" priority="1" dxfId="1">
      <formula>$M4="A"</formula>
    </cfRule>
    <cfRule type="expression" priority="2" dxfId="0">
      <formula>$M4="D"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2026-09-19T13:50:25Z</dcterms:created>
  <dcterms:modified xsi:type="dcterms:W3CDTF">2026-09-19T14:10:14Z</dcterms:modified>
</cp:coreProperties>
</file>